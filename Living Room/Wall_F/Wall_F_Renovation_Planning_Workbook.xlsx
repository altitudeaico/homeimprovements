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9078c5e1c49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a4156084e454261"/>
    <x:sheet xmlns:r="http://schemas.openxmlformats.org/officeDocument/2006/relationships" name="Task Plan" sheetId="2" r:id="Rec5c0e8688aa44bc"/>
    <x:sheet xmlns:r="http://schemas.openxmlformats.org/officeDocument/2006/relationships" name="Shopping List" sheetId="3" r:id="Rac0fe3671c2949da"/>
    <x:sheet xmlns:r="http://schemas.openxmlformats.org/officeDocument/2006/relationships" name="Schedule" sheetId="4" r:id="R06cf5fee06b34df8"/>
    <x:sheet xmlns:r="http://schemas.openxmlformats.org/officeDocument/2006/relationships" name="Budget Scenarios" sheetId="5" r:id="R8107fa457d644518"/>
    <x:sheet xmlns:r="http://schemas.openxmlformats.org/officeDocument/2006/relationships" name="Measurements" sheetId="6" r:id="Rd345d8148d854016"/>
    <x:sheet xmlns:r="http://schemas.openxmlformats.org/officeDocument/2006/relationships" name="Risks" sheetId="7" r:id="R3f3b76c93d1d4a97"/>
    <x:sheet xmlns:r="http://schemas.openxmlformats.org/officeDocument/2006/relationships" name="Suppliers" sheetId="8" r:id="Re4dd33aa04bc40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£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3A2E"/>
      </x:patternFill>
    </x:fill>
    <x:fill>
      <x:patternFill patternType="solid">
        <x:fgColor rgb="FFD4A953"/>
      </x:patternFill>
    </x:fill>
    <x:fill>
      <x:patternFill patternType="solid">
        <x:fgColor rgb="FFE8F1E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0" fillId="4" borderId="1" xfId="0" applyNumberFormat="1" applyFont="1" applyFill="1" applyBorder="1"/>
    <x:xf numFmtId="201" fontId="0" fillId="4" borderId="1" xfId="0" applyNumberFormat="1" applyFont="1" applyFill="1" applyBorder="1"/>
    <x:xf numFmtId="0" fontId="3" fillId="4" borderId="1" xfId="0" applyNumberFormat="1" applyFont="1" applyFill="1" applyBorder="1"/>
    <x:xf numFmtId="201" fontId="3" fillId="4" borderId="1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FFDCFCE7"/>
        </x:patternFill>
      </x:fill>
    </x:dxf>
    <x:dxf>
      <x:fill>
        <x:patternFill patternType="solid">
          <x:bgColor rgb="FFFECACA"/>
        </x:patternFill>
      </x:fill>
    </x:dxf>
    <x:dxf>
      <x:font>
        <x:b/>
      </x:font>
      <x:fill>
        <x:patternFill patternType="solid">
          <x:bgColor rgb="FFFDE68A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7e58877de47bd" /><Relationship Type="http://schemas.openxmlformats.org/officeDocument/2006/relationships/theme" Target="/xl/theme/theme1.xml" Id="Rdfa5ddc40bb14af9" /><Relationship Type="http://schemas.openxmlformats.org/officeDocument/2006/relationships/sharedStrings" Target="/xl/sharedStrings.xml" Id="R9a642572b5fd4825" /><Relationship Type="http://schemas.openxmlformats.org/officeDocument/2006/relationships/worksheet" Target="/xl/worksheets/sheet1.xml" Id="R2a4156084e454261" /><Relationship Type="http://schemas.openxmlformats.org/officeDocument/2006/relationships/worksheet" Target="/xl/worksheets/sheet2.xml" Id="Rec5c0e8688aa44bc" /><Relationship Type="http://schemas.openxmlformats.org/officeDocument/2006/relationships/worksheet" Target="/xl/worksheets/sheet3.xml" Id="Rac0fe3671c2949da" /><Relationship Type="http://schemas.openxmlformats.org/officeDocument/2006/relationships/worksheet" Target="/xl/worksheets/sheet4.xml" Id="R06cf5fee06b34df8" /><Relationship Type="http://schemas.openxmlformats.org/officeDocument/2006/relationships/worksheet" Target="/xl/worksheets/sheet5.xml" Id="R8107fa457d644518" /><Relationship Type="http://schemas.openxmlformats.org/officeDocument/2006/relationships/worksheet" Target="/xl/worksheets/sheet6.xml" Id="Rd345d8148d854016" /><Relationship Type="http://schemas.openxmlformats.org/officeDocument/2006/relationships/worksheet" Target="/xl/worksheets/sheet7.xml" Id="R3f3b76c93d1d4a97" /><Relationship Type="http://schemas.openxmlformats.org/officeDocument/2006/relationships/worksheet" Target="/xl/worksheets/sheet8.xml" Id="Re4dd33aa04bc40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db6b663f5b4a9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Target £</c:v>
          </c:tx>
          <c:cat>
            <c:strRef>
              <c:f>'Dashboard'!$A$6:$A$12</c:f>
              <c:strCache>
                <c:ptCount val="0"/>
              </c:strCache>
            </c:strRef>
          </c:cat>
          <c:val>
            <c:numRef>
              <c:f>'Dashboard'!$C$6:$C$12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db6b663f5b4a9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kPlanTable" displayName="TaskPlanTable" ref="A1:P69" headerRowCount="1">
  <x:tableColumns count="16">
    <x:tableColumn id="1" name="ID"/>
    <x:tableColumn id="2" name="Module"/>
    <x:tableColumn id="3" name="Phase"/>
    <x:tableColumn id="4" name="Task"/>
    <x:tableColumn id="5" name="Description / execution detail"/>
    <x:tableColumn id="6" name="Owner"/>
    <x:tableColumn id="7" name="Skill Level"/>
    <x:tableColumn id="8" name="Dependency"/>
    <x:tableColumn id="9" name="Estimated Hours"/>
    <x:tableColumn id="10" name="Low £"/>
    <x:tableColumn id="11" name="Target £"/>
    <x:tableColumn id="12" name="High £"/>
    <x:tableColumn id="13" name="Status"/>
    <x:tableColumn id="14" name="Priority"/>
    <x:tableColumn id="15" name="Month/Week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hoppingListTable" displayName="ShoppingListTable" ref="A1:Q43" headerRowCount="1">
  <x:tableColumns count="17">
    <x:tableColumn id="1" name="Category"/>
    <x:tableColumn id="2" name="Item"/>
    <x:tableColumn id="3" name="Spec / Notes"/>
    <x:tableColumn id="4" name="Phase"/>
    <x:tableColumn id="5" name="Module"/>
    <x:tableColumn id="6" name="Qty"/>
    <x:tableColumn id="7" name="Unit"/>
    <x:tableColumn id="8" name="Low Unit £"/>
    <x:tableColumn id="9" name="Target Unit £"/>
    <x:tableColumn id="10" name="High Unit £"/>
    <x:tableColumn id="11" name="Low Total £"/>
    <x:tableColumn id="12" name="Target Total £"/>
    <x:tableColumn id="13" name="High Total £"/>
    <x:tableColumn id="14" name="Buy Month/Week"/>
    <x:tableColumn id="15" name="Status"/>
    <x:tableColumn id="16" name="Source / URL"/>
    <x:tableColumn id="1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cheduleTable" displayName="ScheduleTable" ref="A1:K18" headerRowCount="1">
  <x:tableColumns count="11">
    <x:tableColumn id="1" name="Sequence"/>
    <x:tableColumn id="2" name="Month"/>
    <x:tableColumn id="3" name="Weekend/Day"/>
    <x:tableColumn id="4" name="Phase"/>
    <x:tableColumn id="5" name="Module"/>
    <x:tableColumn id="6" name="Work Package"/>
    <x:tableColumn id="7" name="Prerequisite"/>
    <x:tableColumn id="8" name="Estimated Hours"/>
    <x:tableColumn id="9" name="Cash Needed Target £"/>
    <x:tableColumn id="10" name="Output / Definition of Done"/>
    <x:tableColumn id="11" name="Decision Gate"/>
  </x:tableColumns>
  <x:tableStyleInfo name="TableStyleMedium2" showRowStripes="1"/>
</x:table>
</file>

<file path=xl/tables/table4.xml><?xml version="1.0" encoding="utf-8"?>
<x:table xmlns:x="http://schemas.openxmlformats.org/spreadsheetml/2006/main" id="4" name="MeasurementsTable" displayName="MeasurementsTable" ref="A1:G18" headerRowCount="1">
  <x:tableColumns count="7">
    <x:tableColumn id="1" name="Area"/>
    <x:tableColumn id="2" name="Measurement"/>
    <x:tableColumn id="3" name="Value mm"/>
    <x:tableColumn id="4" name="How to Measure"/>
    <x:tableColumn id="5" name="Why It Matters"/>
    <x:tableColumn id="6" name="Confirmed?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isksTable" displayName="RisksTable" ref="A1:H10" headerRowCount="1">
  <x:tableColumns count="8">
    <x:tableColumn id="1" name="Risk ID"/>
    <x:tableColumn id="2" name="Risk"/>
    <x:tableColumn id="3" name="Likelihood"/>
    <x:tableColumn id="4" name="Impact"/>
    <x:tableColumn id="5" name="Early Warning"/>
    <x:tableColumn id="6" name="Mitigation"/>
    <x:tableColumn id="7" name="Owner"/>
    <x:tableColumn id="8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SuppliersTable" displayName="SuppliersTable" ref="A1:F7" headerRowCount="1">
  <x:tableColumns count="6">
    <x:tableColumn id="1" name="Supplier"/>
    <x:tableColumn id="2" name="Item / Category"/>
    <x:tableColumn id="3" name="Useful For"/>
    <x:tableColumn id="4" name="Current observed price / range"/>
    <x:tableColumn id="5" name="URL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cfc63b4eb64a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9ff325d7644b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c8e799410943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fc21b631ef42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6c489dfb23041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7cf8edb917c40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fd0fe8a6afc47a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34" hidden="0" customWidth="1"/>
  </x:cols>
  <x:sheetData>
    <x:row r="1" ht="28" customHeight="1">
      <x:c r="A1" s="6" t="str">
        <x:v>Wall F Renovation Planning Workbook</x:v>
      </x:c>
      <x:c r="B1" s="6" t="str"/>
      <x:c r="C1" s="6" t="str"/>
      <x:c r="D1" s="6" t="str"/>
      <x:c r="E1" s="6" t="str"/>
      <x:c r="F1" s="6" t="str"/>
      <x:c r="G1" s="6" t="str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t="str">
        <x:v>Project</x:v>
      </x:c>
      <x:c r="B2" t="str">
        <x:v>Wall F media wall + left/right modules</x:v>
      </x:c>
      <x:c r="C2" t="str"/>
      <x:c r="D2" t="str">
        <x:v>Created</x:v>
      </x:c>
      <x:c r="E2" t="str">
        <x:v>2026-06-29</x:v>
      </x:c>
      <x:c r="F2" t="str"/>
      <x:c r="G2" t="str"/>
    </x:row>
    <x:row r="3">
      <x:c r="A3" t="str">
        <x:v>Assumption</x:v>
      </x:c>
      <x:c r="B3" t="str">
        <x:v>DIY labour; prices are planning allowances, not quotes; verify locally before purchasing.</x:v>
      </x:c>
      <x:c r="C3" t="str"/>
      <x:c r="D3" t="str"/>
      <x:c r="E3" t="str"/>
      <x:c r="F3" t="str"/>
      <x:c r="G3" t="str"/>
    </x:row>
    <x:row r="4">
      <x:c r="A4" t="str"/>
      <x:c r="B4" t="str"/>
      <x:c r="C4" t="str"/>
      <x:c r="D4" t="str"/>
      <x:c r="E4" t="str"/>
      <x:c r="F4" t="str"/>
      <x:c r="G4" t="str"/>
    </x:row>
    <x:row r="5">
      <x:c r="A5" s="17" t="str">
        <x:v>Budget Summary</x:v>
      </x:c>
      <x:c r="B5" s="17" t="str">
        <x:v>Low</x:v>
      </x:c>
      <x:c r="C5" s="17" t="str">
        <x:v>Target</x:v>
      </x:c>
      <x:c r="D5" s="17" t="str">
        <x:v>High</x:v>
      </x:c>
      <x:c r="E5" s="17" t="str">
        <x:v>Committed</x:v>
      </x:c>
      <x:c r="F5" s="17" t="str">
        <x:v>Remaining Target</x:v>
      </x:c>
      <x:c r="G5" s="17" t="str">
        <x:v>Notes</x:v>
      </x:c>
    </x:row>
    <x:row r="6">
      <x:c r="A6" t="str">
        <x:v>Prep &amp; protection</x:v>
      </x:c>
      <x:c r="B6" s="14" t="n">
        <x:f>SUMIF('Shopping List'!D:D,"Remove",'Shopping List'!K:K)+SUMIF('Shopping List'!D:D,"Expose",'Shopping List'!K:K)</x:f>
        <x:v>139</x:v>
      </x:c>
      <x:c r="C6" s="14" t="n">
        <x:f>SUMIF('Shopping List'!D:D,"Remove",'Shopping List'!L:L)+SUMIF('Shopping List'!D:D,"Expose",'Shopping List'!L:L)</x:f>
        <x:v>291</x:v>
      </x:c>
      <x:c r="D6" s="14" t="n">
        <x:f>SUMIF('Shopping List'!D:D,"Remove",'Shopping List'!M:M)+SUMIF('Shopping List'!D:D,"Expose",'Shopping List'!M:M)</x:f>
        <x:v>567</x:v>
      </x:c>
      <x:c r="E6" s="14" t="n">
        <x:v>0</x:v>
      </x:c>
      <x:c r="F6" s="14" t="n">
        <x:f>C6-E6</x:f>
        <x:v>291</x:v>
      </x:c>
      <x:c r="G6" t="str"/>
    </x:row>
    <x:row r="7">
      <x:c r="A7" t="str">
        <x:v>Centre media/fireplace</x:v>
      </x:c>
      <x:c r="B7" s="14" t="n">
        <x:f>SUMIF('Shopping List'!E:E,"Centre",'Shopping List'!K:K)+SUMIF('Shopping List'!D:D,"Install",'Shopping List'!K:K)</x:f>
        <x:v>525</x:v>
      </x:c>
      <x:c r="C7" s="14" t="n">
        <x:f>SUMIF('Shopping List'!E:E,"Centre",'Shopping List'!L:L)+SUMIF('Shopping List'!D:D,"Install",'Shopping List'!L:L)</x:f>
        <x:v>988.6</x:v>
      </x:c>
      <x:c r="D7" s="14" t="n">
        <x:f>SUMIF('Shopping List'!E:E,"Centre",'Shopping List'!M:M)+SUMIF('Shopping List'!D:D,"Install",'Shopping List'!M:M)</x:f>
        <x:v>1912</x:v>
      </x:c>
      <x:c r="E7" s="14" t="n">
        <x:v>0</x:v>
      </x:c>
      <x:c r="F7" s="14" t="n">
        <x:f>C7-E7</x:f>
        <x:v>988.6</x:v>
      </x:c>
      <x:c r="G7" t="str"/>
    </x:row>
    <x:row r="8">
      <x:c r="A8" t="str">
        <x:v>Left module</x:v>
      </x:c>
      <x:c r="B8" s="14" t="n">
        <x:f>SUMIF('Shopping List'!E:E,"Left",'Shopping List'!K:K)+SUMIF('Shopping List'!E:E,"Left/Right",'Shopping List'!K:K)/2</x:f>
        <x:v>232</x:v>
      </x:c>
      <x:c r="C8" s="14" t="n">
        <x:f>SUMIF('Shopping List'!E:E,"Left",'Shopping List'!L:L)+SUMIF('Shopping List'!E:E,"Left/Right",'Shopping List'!L:L)/2</x:f>
        <x:v>447.5</x:v>
      </x:c>
      <x:c r="D8" s="14" t="n">
        <x:f>SUMIF('Shopping List'!E:E,"Left",'Shopping List'!M:M)+SUMIF('Shopping List'!E:E,"Left/Right",'Shopping List'!M:M)/2</x:f>
        <x:v>857</x:v>
      </x:c>
      <x:c r="E8" s="14" t="n">
        <x:v>0</x:v>
      </x:c>
      <x:c r="F8" s="14" t="n">
        <x:f>C8-E8</x:f>
        <x:v>447.5</x:v>
      </x:c>
      <x:c r="G8" t="str"/>
    </x:row>
    <x:row r="9">
      <x:c r="A9" t="str">
        <x:v>Right module</x:v>
      </x:c>
      <x:c r="B9" s="14" t="n">
        <x:f>SUMIF('Shopping List'!E:E,"Right",'Shopping List'!K:K)+SUMIF('Shopping List'!E:E,"Left/Right",'Shopping List'!K:K)/2</x:f>
        <x:v>232</x:v>
      </x:c>
      <x:c r="C9" s="14" t="n">
        <x:f>SUMIF('Shopping List'!E:E,"Right",'Shopping List'!L:L)+SUMIF('Shopping List'!E:E,"Left/Right",'Shopping List'!L:L)/2</x:f>
        <x:v>447.5</x:v>
      </x:c>
      <x:c r="D9" s="14" t="n">
        <x:f>SUMIF('Shopping List'!E:E,"Right",'Shopping List'!M:M)+SUMIF('Shopping List'!E:E,"Left/Right",'Shopping List'!M:M)/2</x:f>
        <x:v>857</x:v>
      </x:c>
      <x:c r="E9" s="14" t="n">
        <x:v>0</x:v>
      </x:c>
      <x:c r="F9" s="14" t="n">
        <x:f>C9-E9</x:f>
        <x:v>447.5</x:v>
      </x:c>
      <x:c r="G9" t="str"/>
    </x:row>
    <x:row r="10">
      <x:c r="A10" t="str">
        <x:v>Paint &amp; finishing</x:v>
      </x:c>
      <x:c r="B10" s="14" t="n">
        <x:f>SUMIF('Shopping List'!D:D,"Paint",'Shopping List'!K:K)</x:f>
        <x:v>355.5</x:v>
      </x:c>
      <x:c r="C10" s="14" t="n">
        <x:f>SUMIF('Shopping List'!D:D,"Paint",'Shopping List'!L:L)</x:f>
        <x:v>567.5</x:v>
      </x:c>
      <x:c r="D10" s="14" t="n">
        <x:f>SUMIF('Shopping List'!D:D,"Paint",'Shopping List'!M:M)</x:f>
        <x:v>907.5</x:v>
      </x:c>
      <x:c r="E10" s="14" t="n">
        <x:v>0</x:v>
      </x:c>
      <x:c r="F10" s="14" t="n">
        <x:f>C10-E10</x:f>
        <x:v>567.5</x:v>
      </x:c>
      <x:c r="G10" t="str"/>
    </x:row>
    <x:row r="11">
      <x:c r="A11" t="str">
        <x:v>Lighting &amp; electrics</x:v>
      </x:c>
      <x:c r="B11" s="14" t="n">
        <x:f>SUMIF('Shopping List'!D:D,"Lighting",'Shopping List'!K:K)</x:f>
        <x:v>139</x:v>
      </x:c>
      <x:c r="C11" s="14" t="n">
        <x:f>SUMIF('Shopping List'!D:D,"Lighting",'Shopping List'!L:L)</x:f>
        <x:v>265</x:v>
      </x:c>
      <x:c r="D11" s="14" t="n">
        <x:f>SUMIF('Shopping List'!D:D,"Lighting",'Shopping List'!M:M)</x:f>
        <x:v>555</x:v>
      </x:c>
      <x:c r="E11" s="14" t="n">
        <x:v>0</x:v>
      </x:c>
      <x:c r="F11" s="14" t="n">
        <x:f>C11-E11</x:f>
        <x:v>265</x:v>
      </x:c>
      <x:c r="G11" t="str"/>
    </x:row>
    <x:row r="12">
      <x:c r="A12" t="str">
        <x:v>Tools / hire</x:v>
      </x:c>
      <x:c r="B12" s="14" t="n">
        <x:f>SUMIF('Shopping List'!A:A,"Tools",'Shopping List'!K:K)+SUMIF('Shopping List'!A:A,"Hire/Tools",'Shopping List'!K:K)</x:f>
        <x:v>94</x:v>
      </x:c>
      <x:c r="C12" s="14" t="n">
        <x:f>SUMIF('Shopping List'!A:A,"Tools",'Shopping List'!L:L)+SUMIF('Shopping List'!A:A,"Hire/Tools",'Shopping List'!L:L)</x:f>
        <x:v>256</x:v>
      </x:c>
      <x:c r="D12" s="14" t="n">
        <x:f>SUMIF('Shopping List'!A:A,"Tools",'Shopping List'!M:M)+SUMIF('Shopping List'!A:A,"Hire/Tools",'Shopping List'!M:M)</x:f>
        <x:v>570</x:v>
      </x:c>
      <x:c r="E12" s="14" t="n">
        <x:v>0</x:v>
      </x:c>
      <x:c r="F12" s="14" t="n">
        <x:f>C12-E12</x:f>
        <x:v>256</x:v>
      </x:c>
      <x:c r="G12" t="str"/>
    </x:row>
    <x:row r="13">
      <x:c r="A13" s="22" t="str">
        <x:v>Contingency</x:v>
      </x:c>
      <x:c r="B13" s="23" t="n">
        <x:f>SUM(B6:B12)*15%</x:f>
        <x:v>257.47499999999997</x:v>
      </x:c>
      <x:c r="C13" s="23" t="n">
        <x:f>SUM(C6:C12)*15%</x:f>
        <x:v>489.465</x:v>
      </x:c>
      <x:c r="D13" s="23" t="n">
        <x:f>SUM(D6:D12)*15%</x:f>
        <x:v>933.8249999999999</x:v>
      </x:c>
      <x:c r="E13" s="23" t="n">
        <x:v>0</x:v>
      </x:c>
      <x:c r="F13" s="23" t="n">
        <x:f>C13-E13</x:f>
        <x:v>489.465</x:v>
      </x:c>
      <x:c r="G13" t="str">
        <x:v>15% of target cost</x:v>
      </x:c>
    </x:row>
    <x:row r="14">
      <x:c r="A14" s="22" t="str">
        <x:v>TOTAL</x:v>
      </x:c>
      <x:c r="B14" s="22" t="n">
        <x:f>SUM(B6:B13)</x:f>
        <x:v>1973.975</x:v>
      </x:c>
      <x:c r="C14" s="22" t="n">
        <x:f>SUM(C6:C13)</x:f>
        <x:v>3752.565</x:v>
      </x:c>
      <x:c r="D14" s="22" t="n">
        <x:f>SUM(D6:D13)</x:f>
        <x:v>7159.325</x:v>
      </x:c>
      <x:c r="E14" s="22" t="n">
        <x:v>0</x:v>
      </x:c>
      <x:c r="F14" s="22" t="n">
        <x:f>C14-E14</x:f>
        <x:v>3752.565</x:v>
      </x:c>
      <x:c r="G14" t="str"/>
    </x:row>
    <x:row r="15">
      <x:c r="A15" t="str"/>
      <x:c r="B15" t="str"/>
      <x:c r="C15" t="str"/>
      <x:c r="D15" t="str"/>
      <x:c r="E15" t="str"/>
      <x:c r="F15" t="str"/>
      <x:c r="G15" t="str"/>
    </x:row>
    <x:row r="16">
      <x:c r="A16" s="17" t="str">
        <x:v>Schedule Summary</x:v>
      </x:c>
      <x:c r="B16" s="17" t="str">
        <x:v>Target weekends</x:v>
      </x:c>
      <x:c r="C16" s="17" t="str">
        <x:v>Active hours</x:v>
      </x:c>
      <x:c r="D16" s="17" t="str">
        <x:v>Can start?</x:v>
      </x:c>
      <x:c r="E16" s="17" t="str">
        <x:v>Blocker</x:v>
      </x:c>
      <x:c r="F16" s="17" t="str"/>
      <x:c r="G16" s="17" t="str"/>
    </x:row>
    <x:row r="17">
      <x:c r="A17" t="str">
        <x:v>Phase 0: Survey &amp; measure</x:v>
      </x:c>
      <x:c r="B17" t="str">
        <x:v>1 evening</x:v>
      </x:c>
      <x:c r="C17" t="str">
        <x:v>2-3</x:v>
      </x:c>
      <x:c r="D17" t="str">
        <x:v>Yes</x:v>
      </x:c>
      <x:c r="E17" t="str">
        <x:v>None</x:v>
      </x:c>
      <x:c r="F17" t="str"/>
      <x:c r="G17" t="str"/>
    </x:row>
    <x:row r="18">
      <x:c r="A18" t="str">
        <x:v>Phase 1: Remove</x:v>
      </x:c>
      <x:c r="B18" t="str">
        <x:v>1 weekend</x:v>
      </x:c>
      <x:c r="C18" t="str">
        <x:v>6-10</x:v>
      </x:c>
      <x:c r="D18" t="str">
        <x:v>Yes</x:v>
      </x:c>
      <x:c r="E18" t="str">
        <x:v>Safe lifting / power off</x:v>
      </x:c>
      <x:c r="F18" t="str"/>
      <x:c r="G18" t="str"/>
    </x:row>
    <x:row r="19">
      <x:c r="A19" t="str">
        <x:v>Phase 2: Expose</x:v>
      </x:c>
      <x:c r="B19" t="str">
        <x:v>1 weekend</x:v>
      </x:c>
      <x:c r="C19" t="str">
        <x:v>5-8</x:v>
      </x:c>
      <x:c r="D19" t="str">
        <x:v>After Remove</x:v>
      </x:c>
      <x:c r="E19" t="str">
        <x:v>Unexpected fixings</x:v>
      </x:c>
      <x:c r="F19" t="str"/>
      <x:c r="G19" t="str"/>
    </x:row>
    <x:row r="20">
      <x:c r="A20" t="str">
        <x:v>Phase 3: Frame</x:v>
      </x:c>
      <x:c r="B20" t="str">
        <x:v>1 weekend</x:v>
      </x:c>
      <x:c r="C20" t="str">
        <x:v>8-12</x:v>
      </x:c>
      <x:c r="D20" t="str">
        <x:v>After measurements</x:v>
      </x:c>
      <x:c r="E20" t="str">
        <x:v>Need timber + tools</x:v>
      </x:c>
      <x:c r="F20" t="str"/>
      <x:c r="G20" t="str"/>
    </x:row>
    <x:row r="21">
      <x:c r="A21" t="str">
        <x:v>Phase 4: Board &amp; finish</x:v>
      </x:c>
      <x:c r="B21" t="str">
        <x:v>1 weekend</x:v>
      </x:c>
      <x:c r="C21" t="str">
        <x:v>8-14</x:v>
      </x:c>
      <x:c r="D21" t="str">
        <x:v>After frame</x:v>
      </x:c>
      <x:c r="E21" t="str">
        <x:v>Drying time</x:v>
      </x:c>
      <x:c r="F21" t="str"/>
      <x:c r="G21" t="str"/>
    </x:row>
    <x:row r="22">
      <x:c r="A22" t="str">
        <x:v>Phase 5: Cut opening</x:v>
      </x:c>
      <x:c r="B22" t="str">
        <x:v>Half day</x:v>
      </x:c>
      <x:c r="C22" t="str">
        <x:v>3-5</x:v>
      </x:c>
      <x:c r="D22" t="str">
        <x:v>After fire chosen</x:v>
      </x:c>
      <x:c r="E22" t="str">
        <x:v>Exact fire dimensions</x:v>
      </x:c>
      <x:c r="F22" t="str"/>
      <x:c r="G22" t="str"/>
    </x:row>
    <x:row r="23">
      <x:c r="A23" t="str">
        <x:v>Phase 6: Install fire &amp; finish</x:v>
      </x:c>
      <x:c r="B23" t="str">
        <x:v>1 weekend</x:v>
      </x:c>
      <x:c r="C23" t="str">
        <x:v>6-10</x:v>
      </x:c>
      <x:c r="D23" t="str">
        <x:v>After paint</x:v>
      </x:c>
      <x:c r="E23" t="str">
        <x:v>Electrician if needed</x:v>
      </x:c>
      <x:c r="F23" t="str"/>
      <x:c r="G23" t="str"/>
    </x:row>
  </x:sheetData>
  <x:pageMargins left="0.7" right="0.7" top="0.75" bottom="0.75" header="0.3" footer="0.3"/>
  <x:drawing xmlns:r="http://schemas.openxmlformats.org/officeDocument/2006/relationships" r:id="Rd0cfc63b4eb64a00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8" hidden="0" customWidth="1"/>
    <x:col min="4" max="4" width="28" hidden="0" customWidth="1"/>
    <x:col min="5" max="5" width="48" hidden="0" customWidth="1"/>
    <x:col min="6" max="6" width="12" hidden="0" customWidth="1"/>
    <x:col min="7" max="7" width="14" hidden="0" customWidth="1"/>
    <x:col min="8" max="8" width="22" hidden="0" customWidth="1"/>
    <x:col min="9" max="9" width="12" hidden="0" customWidth="1"/>
    <x:col min="10" max="10" width="10" hidden="0" customWidth="1"/>
    <x:col min="11" max="11" width="10" hidden="0" customWidth="1"/>
    <x:col min="12" max="12" width="10" hidden="0" customWidth="1"/>
    <x:col min="13" max="13" width="14" hidden="0" customWidth="1"/>
    <x:col min="14" max="14" width="10" hidden="0" customWidth="1"/>
    <x:col min="15" max="15" width="14" hidden="0" customWidth="1"/>
    <x:col min="16" max="16" width="28" hidden="0" customWidth="1"/>
  </x:cols>
  <x:sheetData>
    <x:row r="1" ht="28" customHeight="1">
      <x:c r="A1" s="6" t="str">
        <x:v>ID</x:v>
      </x:c>
      <x:c r="B1" s="6" t="str">
        <x:v>Module</x:v>
      </x:c>
      <x:c r="C1" s="6" t="str">
        <x:v>Phase</x:v>
      </x:c>
      <x:c r="D1" s="6" t="str">
        <x:v>Task</x:v>
      </x:c>
      <x:c r="E1" s="6" t="str">
        <x:v>Description / execution detail</x:v>
      </x:c>
      <x:c r="F1" s="6" t="str">
        <x:v>Owner</x:v>
      </x:c>
      <x:c r="G1" s="6" t="str">
        <x:v>Skill Level</x:v>
      </x:c>
      <x:c r="H1" s="6" t="str">
        <x:v>Dependency</x:v>
      </x:c>
      <x:c r="I1" s="6" t="str">
        <x:v>Estimated Hours</x:v>
      </x:c>
      <x:c r="J1" s="6" t="str">
        <x:v>Low £</x:v>
      </x:c>
      <x:c r="K1" s="6" t="str">
        <x:v>Target £</x:v>
      </x:c>
      <x:c r="L1" s="6" t="str">
        <x:v>High £</x:v>
      </x:c>
      <x:c r="M1" s="6" t="str">
        <x:v>Status</x:v>
      </x:c>
      <x:c r="N1" s="6" t="str">
        <x:v>Priority</x:v>
      </x:c>
      <x:c r="O1" s="6" t="str">
        <x:v>Month/Week</x:v>
      </x:c>
      <x:c r="P1" s="6" t="str">
        <x:v>Notes</x:v>
      </x:c>
      <x:c r="Q1" s="6"/>
    </x:row>
    <x:row r="2">
      <x:c r="A2" t="str">
        <x:v>T001</x:v>
      </x:c>
      <x:c r="B2" t="str">
        <x:v>Whole Wall F</x:v>
      </x:c>
      <x:c r="C2" t="str">
        <x:v>0 Survey</x:v>
      </x:c>
      <x:c r="D2" t="str">
        <x:v>Measure full wall</x:v>
      </x:c>
      <x:c r="E2" t="str">
        <x:v>Record width/height/depth of left module, centre module, right module; measure shelves, plinths, recesses and chimney opening.</x:v>
      </x:c>
      <x:c r="F2" t="str">
        <x:v>Bolaji</x:v>
      </x:c>
      <x:c r="G2" t="str">
        <x:v>Beginner</x:v>
      </x:c>
      <x:c r="H2" t="str"/>
      <x:c r="I2" s="12" t="n">
        <x:v>2</x:v>
      </x:c>
      <x:c r="J2" s="14" t="n">
        <x:v>0</x:v>
      </x:c>
      <x:c r="K2" s="14" t="n">
        <x:v>0</x:v>
      </x:c>
      <x:c r="L2" s="14" t="n">
        <x:v>0</x:v>
      </x:c>
      <x:c r="M2" t="str">
        <x:v>Not Started</x:v>
      </x:c>
      <x:c r="N2" t="str">
        <x:v>High</x:v>
      </x:c>
      <x:c r="O2" t="str"/>
      <x:c r="P2" t="str"/>
    </x:row>
    <x:row r="3">
      <x:c r="A3" t="str">
        <x:v>T002</x:v>
      </x:c>
      <x:c r="B3" t="str">
        <x:v>Whole Wall F</x:v>
      </x:c>
      <x:c r="C3" t="str">
        <x:v>0 Survey</x:v>
      </x:c>
      <x:c r="D3" t="str">
        <x:v>Photo record</x:v>
      </x:c>
      <x:c r="E3" t="str">
        <x:v>Take labelled photos before touching anything: front, left, right, inside fireplace, cable routes, sockets, ceiling, floor.</x:v>
      </x:c>
      <x:c r="F3" t="str">
        <x:v>Bolaji</x:v>
      </x:c>
      <x:c r="G3" t="str">
        <x:v>Beginner</x:v>
      </x:c>
      <x:c r="H3" t="str"/>
      <x:c r="I3" s="12" t="n">
        <x:v>1</x:v>
      </x:c>
      <x:c r="J3" s="14" t="n">
        <x:v>0</x:v>
      </x:c>
      <x:c r="K3" s="14" t="n">
        <x:v>0</x:v>
      </x:c>
      <x:c r="L3" s="14" t="n">
        <x:v>0</x:v>
      </x:c>
      <x:c r="M3" t="str">
        <x:v>Not Started</x:v>
      </x:c>
      <x:c r="N3" t="str">
        <x:v>High</x:v>
      </x:c>
      <x:c r="O3" t="str"/>
      <x:c r="P3" t="str"/>
    </x:row>
    <x:row r="4">
      <x:c r="A4" t="str">
        <x:v>T003</x:v>
      </x:c>
      <x:c r="B4" t="str">
        <x:v>Whole Wall F</x:v>
      </x:c>
      <x:c r="C4" t="str">
        <x:v>0 Survey</x:v>
      </x:c>
      <x:c r="D4" t="str">
        <x:v>Knock/tap test</x:v>
      </x:c>
      <x:c r="E4" t="str">
        <x:v>Tap mouldings, corbels, mantel and panels to identify hollow vs solid; mark uncertain areas.</x:v>
      </x:c>
      <x:c r="F4" t="str">
        <x:v>Bolaji</x:v>
      </x:c>
      <x:c r="G4" t="str">
        <x:v>Beginner</x:v>
      </x:c>
      <x:c r="H4" t="str"/>
      <x:c r="I4" s="12" t="n">
        <x:v>1</x:v>
      </x:c>
      <x:c r="J4" s="14" t="n">
        <x:v>0</x:v>
      </x:c>
      <x:c r="K4" s="14" t="n">
        <x:v>0</x:v>
      </x:c>
      <x:c r="L4" s="14" t="n">
        <x:v>0</x:v>
      </x:c>
      <x:c r="M4" t="str">
        <x:v>Not Started</x:v>
      </x:c>
      <x:c r="N4" t="str">
        <x:v>High</x:v>
      </x:c>
      <x:c r="O4" t="str"/>
      <x:c r="P4" t="str"/>
    </x:row>
    <x:row r="5">
      <x:c r="A5" t="str">
        <x:v>T004</x:v>
      </x:c>
      <x:c r="B5" t="str">
        <x:v>Whole Wall F</x:v>
      </x:c>
      <x:c r="C5" t="str">
        <x:v>0 Survey</x:v>
      </x:c>
      <x:c r="D5" t="str">
        <x:v>Electrical check</x:v>
      </x:c>
      <x:c r="E5" t="str">
        <x:v>Identify sockets/plugs feeding TV, soundbar, fire, router; decide what can stay plugged vs needs electrician.</x:v>
      </x:c>
      <x:c r="F5" t="str">
        <x:v>Bolaji</x:v>
      </x:c>
      <x:c r="G5" t="str">
        <x:v>Cautious beginner</x:v>
      </x:c>
      <x:c r="H5" t="str"/>
      <x:c r="I5" s="12" t="n">
        <x:v>1</x:v>
      </x:c>
      <x:c r="J5" s="14" t="n">
        <x:v>0</x:v>
      </x:c>
      <x:c r="K5" s="14" t="n">
        <x:v>0</x:v>
      </x:c>
      <x:c r="L5" s="14" t="n">
        <x:v>0</x:v>
      </x:c>
      <x:c r="M5" t="str">
        <x:v>Not Started</x:v>
      </x:c>
      <x:c r="N5" t="str">
        <x:v>High</x:v>
      </x:c>
      <x:c r="O5" t="str"/>
      <x:c r="P5" t="str"/>
    </x:row>
    <x:row r="6">
      <x:c r="A6" t="str">
        <x:v>T005</x:v>
      </x:c>
      <x:c r="B6" t="str">
        <x:v>Whole Wall F</x:v>
      </x:c>
      <x:c r="C6" t="str">
        <x:v>0 Survey</x:v>
      </x:c>
      <x:c r="D6" t="str">
        <x:v>Decide target fire model</x:v>
      </x:c>
      <x:c r="E6" t="str">
        <x:v>Choose exact electric linear fire before cutting any opening; note manufacturer's required opening and clearance.</x:v>
      </x:c>
      <x:c r="F6" t="str">
        <x:v>Bolaji</x:v>
      </x:c>
      <x:c r="G6" t="str">
        <x:v>Beginner</x:v>
      </x:c>
      <x:c r="H6" t="str">
        <x:v>Measurements</x:v>
      </x:c>
      <x:c r="I6" s="12" t="n">
        <x:v>1</x:v>
      </x:c>
      <x:c r="J6" s="14" t="n">
        <x:v>0</x:v>
      </x:c>
      <x:c r="K6" s="14" t="n">
        <x:v>0</x:v>
      </x:c>
      <x:c r="L6" s="14" t="n">
        <x:v>0</x:v>
      </x:c>
      <x:c r="M6" t="str">
        <x:v>Not Started</x:v>
      </x:c>
      <x:c r="N6" t="str">
        <x:v>Critical</x:v>
      </x:c>
      <x:c r="O6" t="str"/>
      <x:c r="P6" t="str"/>
    </x:row>
    <x:row r="7">
      <x:c r="A7" t="str">
        <x:v>T006</x:v>
      </x:c>
      <x:c r="B7" t="str">
        <x:v>Centre</x:v>
      </x:c>
      <x:c r="C7" t="str">
        <x:v>1 Remove</x:v>
      </x:c>
      <x:c r="D7" t="str">
        <x:v>Clear room and protect floor</x:v>
      </x:c>
      <x:c r="E7" t="str">
        <x:v>Move furniture away, lay dust sheets, create safe work zone.</x:v>
      </x:c>
      <x:c r="F7" t="str">
        <x:v>Bolaji</x:v>
      </x:c>
      <x:c r="G7" t="str">
        <x:v>Beginner</x:v>
      </x:c>
      <x:c r="H7" t="str"/>
      <x:c r="I7" s="12" t="n">
        <x:v>1.5</x:v>
      </x:c>
      <x:c r="J7" s="14" t="n">
        <x:v>20</x:v>
      </x:c>
      <x:c r="K7" s="14" t="n">
        <x:v>35</x:v>
      </x:c>
      <x:c r="L7" s="14" t="n">
        <x:v>60</x:v>
      </x:c>
      <x:c r="M7" t="str">
        <x:v>Not Started</x:v>
      </x:c>
      <x:c r="N7" t="str">
        <x:v>High</x:v>
      </x:c>
      <x:c r="O7" t="str"/>
      <x:c r="P7" t="str"/>
    </x:row>
    <x:row r="8">
      <x:c r="A8" t="str">
        <x:v>T007</x:v>
      </x:c>
      <x:c r="B8" t="str">
        <x:v>Centre</x:v>
      </x:c>
      <x:c r="C8" t="str">
        <x:v>1 Remove</x:v>
      </x:c>
      <x:c r="D8" t="str">
        <x:v>Remove TV and soundbar</x:v>
      </x:c>
      <x:c r="E8" t="str">
        <x:v>Two-person lift; photograph brackets and cables; label cables before unplugging.</x:v>
      </x:c>
      <x:c r="F8" t="str">
        <x:v>Bolaji</x:v>
      </x:c>
      <x:c r="G8" t="str">
        <x:v>Beginner</x:v>
      </x:c>
      <x:c r="H8" t="str"/>
      <x:c r="I8" s="12" t="n">
        <x:v>1</x:v>
      </x:c>
      <x:c r="J8" s="14" t="n">
        <x:v>0</x:v>
      </x:c>
      <x:c r="K8" s="14" t="n">
        <x:v>0</x:v>
      </x:c>
      <x:c r="L8" s="14" t="n">
        <x:v>0</x:v>
      </x:c>
      <x:c r="M8" t="str">
        <x:v>Not Started</x:v>
      </x:c>
      <x:c r="N8" t="str">
        <x:v>High</x:v>
      </x:c>
      <x:c r="O8" t="str"/>
      <x:c r="P8" t="str"/>
    </x:row>
    <x:row r="9">
      <x:c r="A9" t="str">
        <x:v>T008</x:v>
      </x:c>
      <x:c r="B9" t="str">
        <x:v>Centre</x:v>
      </x:c>
      <x:c r="C9" t="str">
        <x:v>1 Remove</x:v>
      </x:c>
      <x:c r="D9" t="str">
        <x:v>Remove electric fire</x:v>
      </x:c>
      <x:c r="E9" t="str">
        <x:v>Lean/pull out gently, disconnect plug, vacuum debris, photograph original chimney recess.</x:v>
      </x:c>
      <x:c r="F9" t="str">
        <x:v>Bolaji</x:v>
      </x:c>
      <x:c r="G9" t="str">
        <x:v>Beginner</x:v>
      </x:c>
      <x:c r="H9" t="str"/>
      <x:c r="I9" s="12" t="n">
        <x:v>1</x:v>
      </x:c>
      <x:c r="J9" s="14" t="n">
        <x:v>0</x:v>
      </x:c>
      <x:c r="K9" s="14" t="n">
        <x:v>0</x:v>
      </x:c>
      <x:c r="L9" s="14" t="n">
        <x:v>0</x:v>
      </x:c>
      <x:c r="M9" t="str">
        <x:v>Not Started</x:v>
      </x:c>
      <x:c r="N9" t="str">
        <x:v>High</x:v>
      </x:c>
      <x:c r="O9" t="str"/>
      <x:c r="P9" t="str"/>
    </x:row>
    <x:row r="10">
      <x:c r="A10" t="str">
        <x:v>T009</x:v>
      </x:c>
      <x:c r="B10" t="str">
        <x:v>Centre</x:v>
      </x:c>
      <x:c r="C10" t="str">
        <x:v>1 Remove</x:v>
      </x:c>
      <x:c r="D10" t="str">
        <x:v>Remove loose décor/fixings</x:v>
      </x:c>
      <x:c r="E10" t="str">
        <x:v>Remove clock, shelves, hooks, old clips, cable trunking and wall items from centre section.</x:v>
      </x:c>
      <x:c r="F10" t="str">
        <x:v>Bolaji</x:v>
      </x:c>
      <x:c r="G10" t="str">
        <x:v>Beginner</x:v>
      </x:c>
      <x:c r="H10" t="str"/>
      <x:c r="I10" s="12" t="n">
        <x:v>1</x:v>
      </x:c>
      <x:c r="J10" s="14" t="n">
        <x:v>0</x:v>
      </x:c>
      <x:c r="K10" s="14" t="n">
        <x:v>0</x:v>
      </x:c>
      <x:c r="L10" s="14" t="n">
        <x:v>10</x:v>
      </x:c>
      <x:c r="M10" t="str">
        <x:v>Not Started</x:v>
      </x:c>
      <x:c r="N10" t="str">
        <x:v>High</x:v>
      </x:c>
      <x:c r="O10" t="str"/>
      <x:c r="P10" t="str"/>
    </x:row>
    <x:row r="11">
      <x:c r="A11" t="str">
        <x:v>T010</x:v>
      </x:c>
      <x:c r="B11" t="str">
        <x:v>Centre</x:v>
      </x:c>
      <x:c r="C11" t="str">
        <x:v>1 Remove</x:v>
      </x:c>
      <x:c r="D11" t="str">
        <x:v>Remove centre decorative surround</x:v>
      </x:c>
      <x:c r="E11" t="str">
        <x:v>Score caulk/paint, inspect for screws, pry off old MDF/timber surround carefully.</x:v>
      </x:c>
      <x:c r="F11" t="str">
        <x:v>Bolaji</x:v>
      </x:c>
      <x:c r="G11" t="str">
        <x:v>Beginner</x:v>
      </x:c>
      <x:c r="H11" t="str"/>
      <x:c r="I11" s="12" t="n">
        <x:v>3</x:v>
      </x:c>
      <x:c r="J11" s="14" t="n">
        <x:v>0</x:v>
      </x:c>
      <x:c r="K11" s="14" t="n">
        <x:v>10</x:v>
      </x:c>
      <x:c r="L11" s="14" t="n">
        <x:v>25</x:v>
      </x:c>
      <x:c r="M11" t="str">
        <x:v>Not Started</x:v>
      </x:c>
      <x:c r="N11" t="str">
        <x:v>High</x:v>
      </x:c>
      <x:c r="O11" t="str"/>
      <x:c r="P11" t="str"/>
    </x:row>
    <x:row r="12">
      <x:c r="A12" t="str">
        <x:v>T011</x:v>
      </x:c>
      <x:c r="B12" t="str">
        <x:v>Centre</x:v>
      </x:c>
      <x:c r="C12" t="str">
        <x:v>1 Remove</x:v>
      </x:c>
      <x:c r="D12" t="str">
        <x:v>Clean chimney recess</x:v>
      </x:c>
      <x:c r="E12" t="str">
        <x:v>Vacuum soot/dust, remove loose debris only, do not cut masonry.</x:v>
      </x:c>
      <x:c r="F12" t="str">
        <x:v>Bolaji</x:v>
      </x:c>
      <x:c r="G12" t="str">
        <x:v>Beginner</x:v>
      </x:c>
      <x:c r="H12" t="str"/>
      <x:c r="I12" s="12" t="n">
        <x:v>1</x:v>
      </x:c>
      <x:c r="J12" s="14" t="n">
        <x:v>10</x:v>
      </x:c>
      <x:c r="K12" s="14" t="n">
        <x:v>20</x:v>
      </x:c>
      <x:c r="L12" s="14" t="n">
        <x:v>40</x:v>
      </x:c>
      <x:c r="M12" t="str">
        <x:v>Not Started</x:v>
      </x:c>
      <x:c r="N12" t="str">
        <x:v>High</x:v>
      </x:c>
      <x:c r="O12" t="str"/>
      <x:c r="P12" t="str"/>
    </x:row>
    <x:row r="13">
      <x:c r="A13" t="str">
        <x:v>T012</x:v>
      </x:c>
      <x:c r="B13" t="str">
        <x:v>Left</x:v>
      </x:c>
      <x:c r="C13" t="str">
        <x:v>1 Remove</x:v>
      </x:c>
      <x:c r="D13" t="str">
        <x:v>Remove corbel / bust</x:v>
      </x:c>
      <x:c r="E13" t="str">
        <x:v>Score around corbel, inspect underside for hidden screws, test with scraper, pry gently; use multitool only as last resort.</x:v>
      </x:c>
      <x:c r="F13" t="str">
        <x:v>Bolaji</x:v>
      </x:c>
      <x:c r="G13" t="str">
        <x:v>Beginner</x:v>
      </x:c>
      <x:c r="H13" t="str">
        <x:v>Photo record</x:v>
      </x:c>
      <x:c r="I13" s="12" t="n">
        <x:v>2</x:v>
      </x:c>
      <x:c r="J13" s="14" t="n">
        <x:v>0</x:v>
      </x:c>
      <x:c r="K13" s="14" t="n">
        <x:v>10</x:v>
      </x:c>
      <x:c r="L13" s="14" t="n">
        <x:v>25</x:v>
      </x:c>
      <x:c r="M13" t="str">
        <x:v>Not Started</x:v>
      </x:c>
      <x:c r="N13" t="str">
        <x:v>High</x:v>
      </x:c>
      <x:c r="O13" t="str"/>
      <x:c r="P13" t="str"/>
    </x:row>
    <x:row r="14">
      <x:c r="A14" t="str">
        <x:v>T013</x:v>
      </x:c>
      <x:c r="B14" t="str">
        <x:v>Left</x:v>
      </x:c>
      <x:c r="C14" t="str">
        <x:v>1 Remove</x:v>
      </x:c>
      <x:c r="D14" t="str">
        <x:v>Remove decorative mouldings</x:v>
      </x:c>
      <x:c r="E14" t="str">
        <x:v>Score paint line; remove picture-frame mouldings carefully with scraper/pry bar.</x:v>
      </x:c>
      <x:c r="F14" t="str">
        <x:v>Bolaji</x:v>
      </x:c>
      <x:c r="G14" t="str">
        <x:v>Beginner</x:v>
      </x:c>
      <x:c r="H14" t="str"/>
      <x:c r="I14" s="12" t="n">
        <x:v>2</x:v>
      </x:c>
      <x:c r="J14" s="14" t="n">
        <x:v>0</x:v>
      </x:c>
      <x:c r="K14" s="14" t="n">
        <x:v>10</x:v>
      </x:c>
      <x:c r="L14" s="14" t="n">
        <x:v>30</x:v>
      </x:c>
      <x:c r="M14" t="str">
        <x:v>Not Started</x:v>
      </x:c>
      <x:c r="N14" t="str">
        <x:v>High</x:v>
      </x:c>
      <x:c r="O14" t="str"/>
      <x:c r="P14" t="str"/>
    </x:row>
    <x:row r="15">
      <x:c r="A15" t="str">
        <x:v>T014</x:v>
      </x:c>
      <x:c r="B15" t="str">
        <x:v>Left</x:v>
      </x:c>
      <x:c r="C15" t="str">
        <x:v>1 Remove</x:v>
      </x:c>
      <x:c r="D15" t="str">
        <x:v>Remove existing shelf/decor</x:v>
      </x:c>
      <x:c r="E15" t="str">
        <x:v>Remove top shelf, ornaments, wall brackets and any loose add-ons; bag screws/fixings.</x:v>
      </x:c>
      <x:c r="F15" t="str">
        <x:v>Bolaji</x:v>
      </x:c>
      <x:c r="G15" t="str">
        <x:v>Beginner</x:v>
      </x:c>
      <x:c r="H15" t="str"/>
      <x:c r="I15" s="12" t="n">
        <x:v>1.5</x:v>
      </x:c>
      <x:c r="J15" s="14" t="n">
        <x:v>0</x:v>
      </x:c>
      <x:c r="K15" s="14" t="n">
        <x:v>0</x:v>
      </x:c>
      <x:c r="L15" s="14" t="n">
        <x:v>10</x:v>
      </x:c>
      <x:c r="M15" t="str">
        <x:v>Not Started</x:v>
      </x:c>
      <x:c r="N15" t="str">
        <x:v>High</x:v>
      </x:c>
      <x:c r="O15" t="str"/>
      <x:c r="P15" t="str"/>
    </x:row>
    <x:row r="16">
      <x:c r="A16" t="str">
        <x:v>T015</x:v>
      </x:c>
      <x:c r="B16" t="str">
        <x:v>Left</x:v>
      </x:c>
      <x:c r="C16" t="str">
        <x:v>1 Remove</x:v>
      </x:c>
      <x:c r="D16" t="str">
        <x:v>Clear lower platform area</x:v>
      </x:c>
      <x:c r="E16" t="str">
        <x:v>Empty baskets/storage, remove clutter, clean plinth/bench area so construction is visible.</x:v>
      </x:c>
      <x:c r="F16" t="str">
        <x:v>Bolaji</x:v>
      </x:c>
      <x:c r="G16" t="str">
        <x:v>Beginner</x:v>
      </x:c>
      <x:c r="H16" t="str"/>
      <x:c r="I16" s="12" t="n">
        <x:v>1</x:v>
      </x:c>
      <x:c r="J16" s="14" t="n">
        <x:v>0</x:v>
      </x:c>
      <x:c r="K16" s="14" t="n">
        <x:v>0</x:v>
      </x:c>
      <x:c r="L16" s="14" t="n">
        <x:v>0</x:v>
      </x:c>
      <x:c r="M16" t="str">
        <x:v>Not Started</x:v>
      </x:c>
      <x:c r="N16" t="str">
        <x:v>High</x:v>
      </x:c>
      <x:c r="O16" t="str"/>
      <x:c r="P16" t="str"/>
    </x:row>
    <x:row r="17">
      <x:c r="A17" t="str">
        <x:v>T016</x:v>
      </x:c>
      <x:c r="B17" t="str">
        <x:v>Right</x:v>
      </x:c>
      <x:c r="C17" t="str">
        <x:v>1 Remove</x:v>
      </x:c>
      <x:c r="D17" t="str">
        <x:v>Remove corbel / bust</x:v>
      </x:c>
      <x:c r="E17" t="str">
        <x:v>Score around corbel, inspect underside for hidden screws, test with scraper, pry gently; use multitool only as last resort.</x:v>
      </x:c>
      <x:c r="F17" t="str">
        <x:v>Bolaji</x:v>
      </x:c>
      <x:c r="G17" t="str">
        <x:v>Beginner</x:v>
      </x:c>
      <x:c r="H17" t="str">
        <x:v>Photo record</x:v>
      </x:c>
      <x:c r="I17" s="12" t="n">
        <x:v>2</x:v>
      </x:c>
      <x:c r="J17" s="14" t="n">
        <x:v>0</x:v>
      </x:c>
      <x:c r="K17" s="14" t="n">
        <x:v>10</x:v>
      </x:c>
      <x:c r="L17" s="14" t="n">
        <x:v>25</x:v>
      </x:c>
      <x:c r="M17" t="str">
        <x:v>Not Started</x:v>
      </x:c>
      <x:c r="N17" t="str">
        <x:v>High</x:v>
      </x:c>
      <x:c r="O17" t="str"/>
      <x:c r="P17" t="str"/>
    </x:row>
    <x:row r="18">
      <x:c r="A18" t="str">
        <x:v>T017</x:v>
      </x:c>
      <x:c r="B18" t="str">
        <x:v>Right</x:v>
      </x:c>
      <x:c r="C18" t="str">
        <x:v>1 Remove</x:v>
      </x:c>
      <x:c r="D18" t="str">
        <x:v>Remove decorative mouldings</x:v>
      </x:c>
      <x:c r="E18" t="str">
        <x:v>Score paint line; remove picture-frame mouldings carefully with scraper/pry bar.</x:v>
      </x:c>
      <x:c r="F18" t="str">
        <x:v>Bolaji</x:v>
      </x:c>
      <x:c r="G18" t="str">
        <x:v>Beginner</x:v>
      </x:c>
      <x:c r="H18" t="str"/>
      <x:c r="I18" s="12" t="n">
        <x:v>2</x:v>
      </x:c>
      <x:c r="J18" s="14" t="n">
        <x:v>0</x:v>
      </x:c>
      <x:c r="K18" s="14" t="n">
        <x:v>10</x:v>
      </x:c>
      <x:c r="L18" s="14" t="n">
        <x:v>30</x:v>
      </x:c>
      <x:c r="M18" t="str">
        <x:v>Not Started</x:v>
      </x:c>
      <x:c r="N18" t="str">
        <x:v>High</x:v>
      </x:c>
      <x:c r="O18" t="str"/>
      <x:c r="P18" t="str"/>
    </x:row>
    <x:row r="19">
      <x:c r="A19" t="str">
        <x:v>T018</x:v>
      </x:c>
      <x:c r="B19" t="str">
        <x:v>Right</x:v>
      </x:c>
      <x:c r="C19" t="str">
        <x:v>1 Remove</x:v>
      </x:c>
      <x:c r="D19" t="str">
        <x:v>Remove existing shelf/decor</x:v>
      </x:c>
      <x:c r="E19" t="str">
        <x:v>Remove top shelf, ornaments, wall brackets and any loose add-ons; bag screws/fixings.</x:v>
      </x:c>
      <x:c r="F19" t="str">
        <x:v>Bolaji</x:v>
      </x:c>
      <x:c r="G19" t="str">
        <x:v>Beginner</x:v>
      </x:c>
      <x:c r="H19" t="str"/>
      <x:c r="I19" s="12" t="n">
        <x:v>1.5</x:v>
      </x:c>
      <x:c r="J19" s="14" t="n">
        <x:v>0</x:v>
      </x:c>
      <x:c r="K19" s="14" t="n">
        <x:v>0</x:v>
      </x:c>
      <x:c r="L19" s="14" t="n">
        <x:v>10</x:v>
      </x:c>
      <x:c r="M19" t="str">
        <x:v>Not Started</x:v>
      </x:c>
      <x:c r="N19" t="str">
        <x:v>High</x:v>
      </x:c>
      <x:c r="O19" t="str"/>
      <x:c r="P19" t="str"/>
    </x:row>
    <x:row r="20">
      <x:c r="A20" t="str">
        <x:v>T019</x:v>
      </x:c>
      <x:c r="B20" t="str">
        <x:v>Right</x:v>
      </x:c>
      <x:c r="C20" t="str">
        <x:v>1 Remove</x:v>
      </x:c>
      <x:c r="D20" t="str">
        <x:v>Clear lower platform area</x:v>
      </x:c>
      <x:c r="E20" t="str">
        <x:v>Empty baskets/storage, remove clutter, clean plinth/bench area so construction is visible.</x:v>
      </x:c>
      <x:c r="F20" t="str">
        <x:v>Bolaji</x:v>
      </x:c>
      <x:c r="G20" t="str">
        <x:v>Beginner</x:v>
      </x:c>
      <x:c r="H20" t="str"/>
      <x:c r="I20" s="12" t="n">
        <x:v>1</x:v>
      </x:c>
      <x:c r="J20" s="14" t="n">
        <x:v>0</x:v>
      </x:c>
      <x:c r="K20" s="14" t="n">
        <x:v>0</x:v>
      </x:c>
      <x:c r="L20" s="14" t="n">
        <x:v>0</x:v>
      </x:c>
      <x:c r="M20" t="str">
        <x:v>Not Started</x:v>
      </x:c>
      <x:c r="N20" t="str">
        <x:v>High</x:v>
      </x:c>
      <x:c r="O20" t="str"/>
      <x:c r="P20" t="str"/>
    </x:row>
    <x:row r="21">
      <x:c r="A21" t="str">
        <x:v>T020</x:v>
      </x:c>
      <x:c r="B21" t="str">
        <x:v>Centre</x:v>
      </x:c>
      <x:c r="C21" t="str">
        <x:v>2 Expose</x:v>
      </x:c>
      <x:c r="D21" t="str">
        <x:v>Expose original chimney opening</x:v>
      </x:c>
      <x:c r="E21" t="str">
        <x:v>After surround removed, reveal actual brick/plaster opening; photograph and inspect lintel/top/sides/base.</x:v>
      </x:c>
      <x:c r="F21" t="str">
        <x:v>Bolaji</x:v>
      </x:c>
      <x:c r="G21" t="str">
        <x:v>Beginner</x:v>
      </x:c>
      <x:c r="H21" t="str">
        <x:v>Remove centre decorative surround</x:v>
      </x:c>
      <x:c r="I21" s="12" t="n">
        <x:v>2</x:v>
      </x:c>
      <x:c r="J21" s="14" t="n">
        <x:v>0</x:v>
      </x:c>
      <x:c r="K21" s="14" t="n">
        <x:v>0</x:v>
      </x:c>
      <x:c r="L21" s="14" t="n">
        <x:v>0</x:v>
      </x:c>
      <x:c r="M21" t="str">
        <x:v>Not Started</x:v>
      </x:c>
      <x:c r="N21" t="str">
        <x:v>High</x:v>
      </x:c>
      <x:c r="O21" t="str"/>
      <x:c r="P21" t="str"/>
    </x:row>
    <x:row r="22">
      <x:c r="A22" t="str">
        <x:v>T021</x:v>
      </x:c>
      <x:c r="B22" t="str">
        <x:v>Centre</x:v>
      </x:c>
      <x:c r="C22" t="str">
        <x:v>2 Expose</x:v>
      </x:c>
      <x:c r="D22" t="str">
        <x:v>Measure chimney opening</x:v>
      </x:c>
      <x:c r="E22" t="str">
        <x:v>Record width, height, depth, base level, top clearance; check whether opening is square.</x:v>
      </x:c>
      <x:c r="F22" t="str">
        <x:v>Bolaji</x:v>
      </x:c>
      <x:c r="G22" t="str">
        <x:v>Beginner</x:v>
      </x:c>
      <x:c r="H22" t="str">
        <x:v>Expose original chimney opening</x:v>
      </x:c>
      <x:c r="I22" s="12" t="n">
        <x:v>1</x:v>
      </x:c>
      <x:c r="J22" s="14" t="n">
        <x:v>0</x:v>
      </x:c>
      <x:c r="K22" s="14" t="n">
        <x:v>0</x:v>
      </x:c>
      <x:c r="L22" s="14" t="n">
        <x:v>0</x:v>
      </x:c>
      <x:c r="M22" t="str">
        <x:v>Not Started</x:v>
      </x:c>
      <x:c r="N22" t="str">
        <x:v>High</x:v>
      </x:c>
      <x:c r="O22" t="str"/>
      <x:c r="P22" t="str"/>
    </x:row>
    <x:row r="23">
      <x:c r="A23" t="str">
        <x:v>T022</x:v>
      </x:c>
      <x:c r="B23" t="str">
        <x:v>Centre</x:v>
      </x:c>
      <x:c r="C23" t="str">
        <x:v>2 Expose</x:v>
      </x:c>
      <x:c r="D23" t="str">
        <x:v>Assess chimney condition</x:v>
      </x:c>
      <x:c r="E23" t="str">
        <x:v>Check loose mortar, soot, cracks, old cables, damp marks. Do not repair until frame design confirmed.</x:v>
      </x:c>
      <x:c r="F23" t="str">
        <x:v>Bolaji</x:v>
      </x:c>
      <x:c r="G23" t="str">
        <x:v>Beginner</x:v>
      </x:c>
      <x:c r="H23" t="str"/>
      <x:c r="I23" s="12" t="n">
        <x:v>1</x:v>
      </x:c>
      <x:c r="J23" s="14" t="n">
        <x:v>0</x:v>
      </x:c>
      <x:c r="K23" s="14" t="n">
        <x:v>0</x:v>
      </x:c>
      <x:c r="L23" s="14" t="n">
        <x:v>0</x:v>
      </x:c>
      <x:c r="M23" t="str">
        <x:v>Not Started</x:v>
      </x:c>
      <x:c r="N23" t="str">
        <x:v>High</x:v>
      </x:c>
      <x:c r="O23" t="str"/>
      <x:c r="P23" t="str"/>
    </x:row>
    <x:row r="24">
      <x:c r="A24" t="str">
        <x:v>T023</x:v>
      </x:c>
      <x:c r="B24" t="str">
        <x:v>Left</x:v>
      </x:c>
      <x:c r="C24" t="str">
        <x:v>2 Expose</x:v>
      </x:c>
      <x:c r="D24" t="str">
        <x:v>Expose alcove wall surface</x:v>
      </x:c>
      <x:c r="E24" t="str">
        <x:v>With corbel/moulding removed, scrape adhesive lumps and reveal wall condition.</x:v>
      </x:c>
      <x:c r="F24" t="str">
        <x:v>Bolaji</x:v>
      </x:c>
      <x:c r="G24" t="str">
        <x:v>Beginner</x:v>
      </x:c>
      <x:c r="H24" t="str"/>
      <x:c r="I24" s="12" t="n">
        <x:v>2</x:v>
      </x:c>
      <x:c r="J24" s="14" t="n">
        <x:v>0</x:v>
      </x:c>
      <x:c r="K24" s="14" t="n">
        <x:v>10</x:v>
      </x:c>
      <x:c r="L24" s="14" t="n">
        <x:v>30</x:v>
      </x:c>
      <x:c r="M24" t="str">
        <x:v>Not Started</x:v>
      </x:c>
      <x:c r="N24" t="str">
        <x:v>High</x:v>
      </x:c>
      <x:c r="O24" t="str"/>
      <x:c r="P24" t="str"/>
    </x:row>
    <x:row r="25">
      <x:c r="A25" t="str">
        <x:v>T024</x:v>
      </x:c>
      <x:c r="B25" t="str">
        <x:v>Left</x:v>
      </x:c>
      <x:c r="C25" t="str">
        <x:v>2 Expose</x:v>
      </x:c>
      <x:c r="D25" t="str">
        <x:v>Assess lower box/plinth</x:v>
      </x:c>
      <x:c r="E25" t="str">
        <x:v>Check if lower base is timber/MDF; inspect fixings and whether it can be reused or needs rebuilding.</x:v>
      </x:c>
      <x:c r="F25" t="str">
        <x:v>Bolaji</x:v>
      </x:c>
      <x:c r="G25" t="str">
        <x:v>Beginner</x:v>
      </x:c>
      <x:c r="H25" t="str"/>
      <x:c r="I25" s="12" t="n">
        <x:v>1</x:v>
      </x:c>
      <x:c r="J25" s="14" t="n">
        <x:v>0</x:v>
      </x:c>
      <x:c r="K25" s="14" t="n">
        <x:v>0</x:v>
      </x:c>
      <x:c r="L25" s="14" t="n">
        <x:v>0</x:v>
      </x:c>
      <x:c r="M25" t="str">
        <x:v>Not Started</x:v>
      </x:c>
      <x:c r="N25" t="str">
        <x:v>High</x:v>
      </x:c>
      <x:c r="O25" t="str"/>
      <x:c r="P25" t="str"/>
    </x:row>
    <x:row r="26">
      <x:c r="A26" t="str">
        <x:v>T025</x:v>
      </x:c>
      <x:c r="B26" t="str">
        <x:v>Left</x:v>
      </x:c>
      <x:c r="C26" t="str">
        <x:v>2 Expose</x:v>
      </x:c>
      <x:c r="D26" t="str">
        <x:v>Measure alcove module</x:v>
      </x:c>
      <x:c r="E26" t="str">
        <x:v>Record width, height to shelf zone, depth, shelf positions, cabinet potential and side clearances.</x:v>
      </x:c>
      <x:c r="F26" t="str">
        <x:v>Bolaji</x:v>
      </x:c>
      <x:c r="G26" t="str">
        <x:v>Beginner</x:v>
      </x:c>
      <x:c r="H26" t="str"/>
      <x:c r="I26" s="12" t="n">
        <x:v>1</x:v>
      </x:c>
      <x:c r="J26" s="14" t="n">
        <x:v>0</x:v>
      </x:c>
      <x:c r="K26" s="14" t="n">
        <x:v>0</x:v>
      </x:c>
      <x:c r="L26" s="14" t="n">
        <x:v>0</x:v>
      </x:c>
      <x:c r="M26" t="str">
        <x:v>Not Started</x:v>
      </x:c>
      <x:c r="N26" t="str">
        <x:v>High</x:v>
      </x:c>
      <x:c r="O26" t="str"/>
      <x:c r="P26" t="str"/>
    </x:row>
    <x:row r="27">
      <x:c r="A27" t="str">
        <x:v>T026</x:v>
      </x:c>
      <x:c r="B27" t="str">
        <x:v>Right</x:v>
      </x:c>
      <x:c r="C27" t="str">
        <x:v>2 Expose</x:v>
      </x:c>
      <x:c r="D27" t="str">
        <x:v>Expose alcove wall surface</x:v>
      </x:c>
      <x:c r="E27" t="str">
        <x:v>With corbel/moulding removed, scrape adhesive lumps and reveal wall condition.</x:v>
      </x:c>
      <x:c r="F27" t="str">
        <x:v>Bolaji</x:v>
      </x:c>
      <x:c r="G27" t="str">
        <x:v>Beginner</x:v>
      </x:c>
      <x:c r="H27" t="str"/>
      <x:c r="I27" s="12" t="n">
        <x:v>2</x:v>
      </x:c>
      <x:c r="J27" s="14" t="n">
        <x:v>0</x:v>
      </x:c>
      <x:c r="K27" s="14" t="n">
        <x:v>10</x:v>
      </x:c>
      <x:c r="L27" s="14" t="n">
        <x:v>30</x:v>
      </x:c>
      <x:c r="M27" t="str">
        <x:v>Not Started</x:v>
      </x:c>
      <x:c r="N27" t="str">
        <x:v>High</x:v>
      </x:c>
      <x:c r="O27" t="str"/>
      <x:c r="P27" t="str"/>
    </x:row>
    <x:row r="28">
      <x:c r="A28" t="str">
        <x:v>T027</x:v>
      </x:c>
      <x:c r="B28" t="str">
        <x:v>Right</x:v>
      </x:c>
      <x:c r="C28" t="str">
        <x:v>2 Expose</x:v>
      </x:c>
      <x:c r="D28" t="str">
        <x:v>Assess lower box/plinth</x:v>
      </x:c>
      <x:c r="E28" t="str">
        <x:v>Check if lower base is timber/MDF; inspect fixings and whether it can be reused or needs rebuilding.</x:v>
      </x:c>
      <x:c r="F28" t="str">
        <x:v>Bolaji</x:v>
      </x:c>
      <x:c r="G28" t="str">
        <x:v>Beginner</x:v>
      </x:c>
      <x:c r="H28" t="str"/>
      <x:c r="I28" s="12" t="n">
        <x:v>1</x:v>
      </x:c>
      <x:c r="J28" s="14" t="n">
        <x:v>0</x:v>
      </x:c>
      <x:c r="K28" s="14" t="n">
        <x:v>0</x:v>
      </x:c>
      <x:c r="L28" s="14" t="n">
        <x:v>0</x:v>
      </x:c>
      <x:c r="M28" t="str">
        <x:v>Not Started</x:v>
      </x:c>
      <x:c r="N28" t="str">
        <x:v>High</x:v>
      </x:c>
      <x:c r="O28" t="str"/>
      <x:c r="P28" t="str"/>
    </x:row>
    <x:row r="29">
      <x:c r="A29" t="str">
        <x:v>T028</x:v>
      </x:c>
      <x:c r="B29" t="str">
        <x:v>Right</x:v>
      </x:c>
      <x:c r="C29" t="str">
        <x:v>2 Expose</x:v>
      </x:c>
      <x:c r="D29" t="str">
        <x:v>Measure alcove module</x:v>
      </x:c>
      <x:c r="E29" t="str">
        <x:v>Record width, height to shelf zone, depth, shelf positions, cabinet potential and side clearances.</x:v>
      </x:c>
      <x:c r="F29" t="str">
        <x:v>Bolaji</x:v>
      </x:c>
      <x:c r="G29" t="str">
        <x:v>Beginner</x:v>
      </x:c>
      <x:c r="H29" t="str"/>
      <x:c r="I29" s="12" t="n">
        <x:v>1</x:v>
      </x:c>
      <x:c r="J29" s="14" t="n">
        <x:v>0</x:v>
      </x:c>
      <x:c r="K29" s="14" t="n">
        <x:v>0</x:v>
      </x:c>
      <x:c r="L29" s="14" t="n">
        <x:v>0</x:v>
      </x:c>
      <x:c r="M29" t="str">
        <x:v>Not Started</x:v>
      </x:c>
      <x:c r="N29" t="str">
        <x:v>High</x:v>
      </x:c>
      <x:c r="O29" t="str"/>
      <x:c r="P29" t="str"/>
    </x:row>
    <x:row r="30">
      <x:c r="A30" t="str">
        <x:v>T029</x:v>
      </x:c>
      <x:c r="B30" t="str">
        <x:v>Centre</x:v>
      </x:c>
      <x:c r="C30" t="str">
        <x:v>3 Build New Frame</x:v>
      </x:c>
      <x:c r="D30" t="str">
        <x:v>Set centre frame layout</x:v>
      </x:c>
      <x:c r="E30" t="str">
        <x:v>Mark centre line, TV zone, fire zone, final face line, cable routes and frame perimeter.</x:v>
      </x:c>
      <x:c r="F30" t="str">
        <x:v>Bolaji</x:v>
      </x:c>
      <x:c r="G30" t="str">
        <x:v>Beginner</x:v>
      </x:c>
      <x:c r="H30" t="str">
        <x:v>Measure chimney opening</x:v>
      </x:c>
      <x:c r="I30" s="12" t="n">
        <x:v>1.5</x:v>
      </x:c>
      <x:c r="J30" s="14" t="n">
        <x:v>0</x:v>
      </x:c>
      <x:c r="K30" s="14" t="n">
        <x:v>0</x:v>
      </x:c>
      <x:c r="L30" s="14" t="n">
        <x:v>0</x:v>
      </x:c>
      <x:c r="M30" t="str">
        <x:v>Not Started</x:v>
      </x:c>
      <x:c r="N30" t="str">
        <x:v>High</x:v>
      </x:c>
      <x:c r="O30" t="str"/>
      <x:c r="P30" t="str"/>
    </x:row>
    <x:row r="31">
      <x:c r="A31" t="str">
        <x:v>T030</x:v>
      </x:c>
      <x:c r="B31" t="str">
        <x:v>Centre</x:v>
      </x:c>
      <x:c r="C31" t="str">
        <x:v>3 Build New Frame</x:v>
      </x:c>
      <x:c r="D31" t="str">
        <x:v>Build centre timber frame</x:v>
      </x:c>
      <x:c r="E31" t="str">
        <x:v>Use CLS timber to frame around chimney opening and up to TV zone; keep chimney opening clear at bottom.</x:v>
      </x:c>
      <x:c r="F31" t="str">
        <x:v>Bolaji</x:v>
      </x:c>
      <x:c r="G31" t="str">
        <x:v>Beginner</x:v>
      </x:c>
      <x:c r="H31" t="str">
        <x:v>Set centre frame layout</x:v>
      </x:c>
      <x:c r="I31" s="12" t="n">
        <x:v>6</x:v>
      </x:c>
      <x:c r="J31" s="14" t="n">
        <x:v>60</x:v>
      </x:c>
      <x:c r="K31" s="14" t="n">
        <x:v>90</x:v>
      </x:c>
      <x:c r="L31" s="14" t="n">
        <x:v>140</x:v>
      </x:c>
      <x:c r="M31" t="str">
        <x:v>Not Started</x:v>
      </x:c>
      <x:c r="N31" t="str">
        <x:v>High</x:v>
      </x:c>
      <x:c r="O31" t="str"/>
      <x:c r="P31" t="str"/>
    </x:row>
    <x:row r="32">
      <x:c r="A32" t="str">
        <x:v>T031</x:v>
      </x:c>
      <x:c r="B32" t="str">
        <x:v>Centre</x:v>
      </x:c>
      <x:c r="C32" t="str">
        <x:v>3 Build New Frame</x:v>
      </x:c>
      <x:c r="D32" t="str">
        <x:v>Add fire support/jack studs</x:v>
      </x:c>
      <x:c r="E32" t="str">
        <x:v>Build strong side studs and header around future linear fire opening based on chosen fire dimensions.</x:v>
      </x:c>
      <x:c r="F32" t="str">
        <x:v>Bolaji</x:v>
      </x:c>
      <x:c r="G32" t="str">
        <x:v>Beginner</x:v>
      </x:c>
      <x:c r="H32" t="str">
        <x:v>Target fire model</x:v>
      </x:c>
      <x:c r="I32" s="12" t="n">
        <x:v>2</x:v>
      </x:c>
      <x:c r="J32" s="14" t="n">
        <x:v>15</x:v>
      </x:c>
      <x:c r="K32" s="14" t="n">
        <x:v>30</x:v>
      </x:c>
      <x:c r="L32" s="14" t="n">
        <x:v>60</x:v>
      </x:c>
      <x:c r="M32" t="str">
        <x:v>Not Started</x:v>
      </x:c>
      <x:c r="N32" t="str">
        <x:v>High</x:v>
      </x:c>
      <x:c r="O32" t="str"/>
      <x:c r="P32" t="str"/>
    </x:row>
    <x:row r="33">
      <x:c r="A33" t="str">
        <x:v>T032</x:v>
      </x:c>
      <x:c r="B33" t="str">
        <x:v>Centre</x:v>
      </x:c>
      <x:c r="C33" t="str">
        <x:v>3 Build New Frame</x:v>
      </x:c>
      <x:c r="D33" t="str">
        <x:v>Create cable/service void</x:v>
      </x:c>
      <x:c r="E33" t="str">
        <x:v>Route cable paths behind TV/fire/soundbar; add accessible void before boarding.</x:v>
      </x:c>
      <x:c r="F33" t="str">
        <x:v>Bolaji</x:v>
      </x:c>
      <x:c r="G33" t="str">
        <x:v>Beginner</x:v>
      </x:c>
      <x:c r="H33" t="str"/>
      <x:c r="I33" s="12" t="n">
        <x:v>1.5</x:v>
      </x:c>
      <x:c r="J33" s="14" t="n">
        <x:v>15</x:v>
      </x:c>
      <x:c r="K33" s="14" t="n">
        <x:v>30</x:v>
      </x:c>
      <x:c r="L33" s="14" t="n">
        <x:v>60</x:v>
      </x:c>
      <x:c r="M33" t="str">
        <x:v>Not Started</x:v>
      </x:c>
      <x:c r="N33" t="str">
        <x:v>High</x:v>
      </x:c>
      <x:c r="O33" t="str"/>
      <x:c r="P33" t="str"/>
    </x:row>
    <x:row r="34">
      <x:c r="A34" t="str">
        <x:v>T033</x:v>
      </x:c>
      <x:c r="B34" t="str">
        <x:v>Centre</x:v>
      </x:c>
      <x:c r="C34" t="str">
        <x:v>3 Build New Frame</x:v>
      </x:c>
      <x:c r="D34" t="str">
        <x:v>Strengthen TV mount zone</x:v>
      </x:c>
      <x:c r="E34" t="str">
        <x:v>Add plywood backer or extra timber noggins where TV bracket will fix.</x:v>
      </x:c>
      <x:c r="F34" t="str">
        <x:v>Bolaji</x:v>
      </x:c>
      <x:c r="G34" t="str">
        <x:v>Beginner</x:v>
      </x:c>
      <x:c r="H34" t="str"/>
      <x:c r="I34" s="12" t="n">
        <x:v>1.5</x:v>
      </x:c>
      <x:c r="J34" s="14" t="n">
        <x:v>25</x:v>
      </x:c>
      <x:c r="K34" s="14" t="n">
        <x:v>45</x:v>
      </x:c>
      <x:c r="L34" s="14" t="n">
        <x:v>75</x:v>
      </x:c>
      <x:c r="M34" t="str">
        <x:v>Not Started</x:v>
      </x:c>
      <x:c r="N34" t="str">
        <x:v>High</x:v>
      </x:c>
      <x:c r="O34" t="str"/>
      <x:c r="P34" t="str"/>
    </x:row>
    <x:row r="35">
      <x:c r="A35" t="str">
        <x:v>T034</x:v>
      </x:c>
      <x:c r="B35" t="str">
        <x:v>Left</x:v>
      </x:c>
      <x:c r="C35" t="str">
        <x:v>3 Build New Frame</x:v>
      </x:c>
      <x:c r="D35" t="str">
        <x:v>Decide cabinet vs reuse base</x:v>
      </x:c>
      <x:c r="E35" t="str">
        <x:v>Choose whether to build new lower cabinet box or adapt existing plinth/bench.</x:v>
      </x:c>
      <x:c r="F35" t="str">
        <x:v>Bolaji</x:v>
      </x:c>
      <x:c r="G35" t="str">
        <x:v>Beginner</x:v>
      </x:c>
      <x:c r="H35" t="str"/>
      <x:c r="I35" s="12" t="n">
        <x:v>1</x:v>
      </x:c>
      <x:c r="J35" s="14" t="n">
        <x:v>0</x:v>
      </x:c>
      <x:c r="K35" s="14" t="n">
        <x:v>0</x:v>
      </x:c>
      <x:c r="L35" s="14" t="n">
        <x:v>0</x:v>
      </x:c>
      <x:c r="M35" t="str">
        <x:v>Not Started</x:v>
      </x:c>
      <x:c r="N35" t="str">
        <x:v>Critical</x:v>
      </x:c>
      <x:c r="O35" t="str"/>
      <x:c r="P35" t="str"/>
    </x:row>
    <x:row r="36">
      <x:c r="A36" t="str">
        <x:v>T035</x:v>
      </x:c>
      <x:c r="B36" t="str">
        <x:v>Left</x:v>
      </x:c>
      <x:c r="C36" t="str">
        <x:v>3 Build New Frame</x:v>
      </x:c>
      <x:c r="D36" t="str">
        <x:v>Build/modify lower cabinet carcass</x:v>
      </x:c>
      <x:c r="E36" t="str">
        <x:v>Frame or install lower cabinet box; align height with centre media wall plinth.</x:v>
      </x:c>
      <x:c r="F36" t="str">
        <x:v>Bolaji</x:v>
      </x:c>
      <x:c r="G36" t="str">
        <x:v>Beginner</x:v>
      </x:c>
      <x:c r="H36" t="str"/>
      <x:c r="I36" s="12" t="n">
        <x:v>5</x:v>
      </x:c>
      <x:c r="J36" s="14" t="n">
        <x:v>80</x:v>
      </x:c>
      <x:c r="K36" s="14" t="n">
        <x:v>150</x:v>
      </x:c>
      <x:c r="L36" s="14" t="n">
        <x:v>280</x:v>
      </x:c>
      <x:c r="M36" t="str">
        <x:v>Not Started</x:v>
      </x:c>
      <x:c r="N36" t="str">
        <x:v>High</x:v>
      </x:c>
      <x:c r="O36" t="str"/>
      <x:c r="P36" t="str"/>
    </x:row>
    <x:row r="37">
      <x:c r="A37" t="str">
        <x:v>T036</x:v>
      </x:c>
      <x:c r="B37" t="str">
        <x:v>Left</x:v>
      </x:c>
      <x:c r="C37" t="str">
        <x:v>3 Build New Frame</x:v>
      </x:c>
      <x:c r="D37" t="str">
        <x:v>Install cabinet face/doors</x:v>
      </x:c>
      <x:c r="E37" t="str">
        <x:v>Fit black reeded/fluted doors or painted MDF doors with gold/brass handles.</x:v>
      </x:c>
      <x:c r="F37" t="str">
        <x:v>Bolaji</x:v>
      </x:c>
      <x:c r="G37" t="str">
        <x:v>Beginner</x:v>
      </x:c>
      <x:c r="H37" t="str"/>
      <x:c r="I37" s="12" t="n">
        <x:v>3</x:v>
      </x:c>
      <x:c r="J37" s="14" t="n">
        <x:v>90</x:v>
      </x:c>
      <x:c r="K37" s="14" t="n">
        <x:v>180</x:v>
      </x:c>
      <x:c r="L37" s="14" t="n">
        <x:v>320</x:v>
      </x:c>
      <x:c r="M37" t="str">
        <x:v>Not Started</x:v>
      </x:c>
      <x:c r="N37" t="str">
        <x:v>High</x:v>
      </x:c>
      <x:c r="O37" t="str"/>
      <x:c r="P37" t="str"/>
    </x:row>
    <x:row r="38">
      <x:c r="A38" t="str">
        <x:v>T037</x:v>
      </x:c>
      <x:c r="B38" t="str">
        <x:v>Left</x:v>
      </x:c>
      <x:c r="C38" t="str">
        <x:v>3 Build New Frame</x:v>
      </x:c>
      <x:c r="D38" t="str">
        <x:v>Prepare shelving supports</x:v>
      </x:c>
      <x:c r="E38" t="str">
        <x:v>Add battens or concealed supports for oak shelves; ensure level and load-bearing.</x:v>
      </x:c>
      <x:c r="F38" t="str">
        <x:v>Bolaji</x:v>
      </x:c>
      <x:c r="G38" t="str">
        <x:v>Beginner</x:v>
      </x:c>
      <x:c r="H38" t="str"/>
      <x:c r="I38" s="12" t="n">
        <x:v>2</x:v>
      </x:c>
      <x:c r="J38" s="14" t="n">
        <x:v>25</x:v>
      </x:c>
      <x:c r="K38" s="14" t="n">
        <x:v>50</x:v>
      </x:c>
      <x:c r="L38" s="14" t="n">
        <x:v>90</x:v>
      </x:c>
      <x:c r="M38" t="str">
        <x:v>Not Started</x:v>
      </x:c>
      <x:c r="N38" t="str">
        <x:v>High</x:v>
      </x:c>
      <x:c r="O38" t="str"/>
      <x:c r="P38" t="str"/>
    </x:row>
    <x:row r="39">
      <x:c r="A39" t="str">
        <x:v>T038</x:v>
      </x:c>
      <x:c r="B39" t="str">
        <x:v>Left</x:v>
      </x:c>
      <x:c r="C39" t="str">
        <x:v>3 Build New Frame</x:v>
      </x:c>
      <x:c r="D39" t="str">
        <x:v>Prepare back panel</x:v>
      </x:c>
      <x:c r="E39" t="str">
        <x:v>Prepare back wall for paint or optional slat/acoustic panel behind shelves.</x:v>
      </x:c>
      <x:c r="F39" t="str">
        <x:v>Bolaji</x:v>
      </x:c>
      <x:c r="G39" t="str">
        <x:v>Beginner</x:v>
      </x:c>
      <x:c r="H39" t="str"/>
      <x:c r="I39" s="12" t="n">
        <x:v>2</x:v>
      </x:c>
      <x:c r="J39" s="14" t="n">
        <x:v>40</x:v>
      </x:c>
      <x:c r="K39" s="14" t="n">
        <x:v>100</x:v>
      </x:c>
      <x:c r="L39" s="14" t="n">
        <x:v>220</x:v>
      </x:c>
      <x:c r="M39" t="str">
        <x:v>Not Started</x:v>
      </x:c>
      <x:c r="N39" t="str">
        <x:v>High</x:v>
      </x:c>
      <x:c r="O39" t="str"/>
      <x:c r="P39" t="str"/>
    </x:row>
    <x:row r="40">
      <x:c r="A40" t="str">
        <x:v>T039</x:v>
      </x:c>
      <x:c r="B40" t="str">
        <x:v>Right</x:v>
      </x:c>
      <x:c r="C40" t="str">
        <x:v>3 Build New Frame</x:v>
      </x:c>
      <x:c r="D40" t="str">
        <x:v>Decide cabinet vs reuse base</x:v>
      </x:c>
      <x:c r="E40" t="str">
        <x:v>Choose whether to build new lower cabinet box or adapt existing plinth/bench.</x:v>
      </x:c>
      <x:c r="F40" t="str">
        <x:v>Bolaji</x:v>
      </x:c>
      <x:c r="G40" t="str">
        <x:v>Beginner</x:v>
      </x:c>
      <x:c r="H40" t="str"/>
      <x:c r="I40" s="12" t="n">
        <x:v>1</x:v>
      </x:c>
      <x:c r="J40" s="14" t="n">
        <x:v>0</x:v>
      </x:c>
      <x:c r="K40" s="14" t="n">
        <x:v>0</x:v>
      </x:c>
      <x:c r="L40" s="14" t="n">
        <x:v>0</x:v>
      </x:c>
      <x:c r="M40" t="str">
        <x:v>Not Started</x:v>
      </x:c>
      <x:c r="N40" t="str">
        <x:v>Critical</x:v>
      </x:c>
      <x:c r="O40" t="str"/>
      <x:c r="P40" t="str"/>
    </x:row>
    <x:row r="41">
      <x:c r="A41" t="str">
        <x:v>T040</x:v>
      </x:c>
      <x:c r="B41" t="str">
        <x:v>Right</x:v>
      </x:c>
      <x:c r="C41" t="str">
        <x:v>3 Build New Frame</x:v>
      </x:c>
      <x:c r="D41" t="str">
        <x:v>Build/modify lower cabinet carcass</x:v>
      </x:c>
      <x:c r="E41" t="str">
        <x:v>Frame or install lower cabinet box; align height with centre media wall plinth.</x:v>
      </x:c>
      <x:c r="F41" t="str">
        <x:v>Bolaji</x:v>
      </x:c>
      <x:c r="G41" t="str">
        <x:v>Beginner</x:v>
      </x:c>
      <x:c r="H41" t="str"/>
      <x:c r="I41" s="12" t="n">
        <x:v>5</x:v>
      </x:c>
      <x:c r="J41" s="14" t="n">
        <x:v>80</x:v>
      </x:c>
      <x:c r="K41" s="14" t="n">
        <x:v>150</x:v>
      </x:c>
      <x:c r="L41" s="14" t="n">
        <x:v>280</x:v>
      </x:c>
      <x:c r="M41" t="str">
        <x:v>Not Started</x:v>
      </x:c>
      <x:c r="N41" t="str">
        <x:v>High</x:v>
      </x:c>
      <x:c r="O41" t="str"/>
      <x:c r="P41" t="str"/>
    </x:row>
    <x:row r="42">
      <x:c r="A42" t="str">
        <x:v>T041</x:v>
      </x:c>
      <x:c r="B42" t="str">
        <x:v>Right</x:v>
      </x:c>
      <x:c r="C42" t="str">
        <x:v>3 Build New Frame</x:v>
      </x:c>
      <x:c r="D42" t="str">
        <x:v>Install cabinet face/doors</x:v>
      </x:c>
      <x:c r="E42" t="str">
        <x:v>Fit black reeded/fluted doors or painted MDF doors with gold/brass handles.</x:v>
      </x:c>
      <x:c r="F42" t="str">
        <x:v>Bolaji</x:v>
      </x:c>
      <x:c r="G42" t="str">
        <x:v>Beginner</x:v>
      </x:c>
      <x:c r="H42" t="str"/>
      <x:c r="I42" s="12" t="n">
        <x:v>3</x:v>
      </x:c>
      <x:c r="J42" s="14" t="n">
        <x:v>90</x:v>
      </x:c>
      <x:c r="K42" s="14" t="n">
        <x:v>180</x:v>
      </x:c>
      <x:c r="L42" s="14" t="n">
        <x:v>320</x:v>
      </x:c>
      <x:c r="M42" t="str">
        <x:v>Not Started</x:v>
      </x:c>
      <x:c r="N42" t="str">
        <x:v>High</x:v>
      </x:c>
      <x:c r="O42" t="str"/>
      <x:c r="P42" t="str"/>
    </x:row>
    <x:row r="43">
      <x:c r="A43" t="str">
        <x:v>T042</x:v>
      </x:c>
      <x:c r="B43" t="str">
        <x:v>Right</x:v>
      </x:c>
      <x:c r="C43" t="str">
        <x:v>3 Build New Frame</x:v>
      </x:c>
      <x:c r="D43" t="str">
        <x:v>Prepare shelving supports</x:v>
      </x:c>
      <x:c r="E43" t="str">
        <x:v>Add battens or concealed supports for oak shelves; ensure level and load-bearing.</x:v>
      </x:c>
      <x:c r="F43" t="str">
        <x:v>Bolaji</x:v>
      </x:c>
      <x:c r="G43" t="str">
        <x:v>Beginner</x:v>
      </x:c>
      <x:c r="H43" t="str"/>
      <x:c r="I43" s="12" t="n">
        <x:v>2</x:v>
      </x:c>
      <x:c r="J43" s="14" t="n">
        <x:v>25</x:v>
      </x:c>
      <x:c r="K43" s="14" t="n">
        <x:v>50</x:v>
      </x:c>
      <x:c r="L43" s="14" t="n">
        <x:v>90</x:v>
      </x:c>
      <x:c r="M43" t="str">
        <x:v>Not Started</x:v>
      </x:c>
      <x:c r="N43" t="str">
        <x:v>High</x:v>
      </x:c>
      <x:c r="O43" t="str"/>
      <x:c r="P43" t="str"/>
    </x:row>
    <x:row r="44">
      <x:c r="A44" t="str">
        <x:v>T043</x:v>
      </x:c>
      <x:c r="B44" t="str">
        <x:v>Right</x:v>
      </x:c>
      <x:c r="C44" t="str">
        <x:v>3 Build New Frame</x:v>
      </x:c>
      <x:c r="D44" t="str">
        <x:v>Prepare back panel</x:v>
      </x:c>
      <x:c r="E44" t="str">
        <x:v>Prepare back wall for paint or optional slat/acoustic panel behind shelves.</x:v>
      </x:c>
      <x:c r="F44" t="str">
        <x:v>Bolaji</x:v>
      </x:c>
      <x:c r="G44" t="str">
        <x:v>Beginner</x:v>
      </x:c>
      <x:c r="H44" t="str"/>
      <x:c r="I44" s="12" t="n">
        <x:v>2</x:v>
      </x:c>
      <x:c r="J44" s="14" t="n">
        <x:v>40</x:v>
      </x:c>
      <x:c r="K44" s="14" t="n">
        <x:v>100</x:v>
      </x:c>
      <x:c r="L44" s="14" t="n">
        <x:v>220</x:v>
      </x:c>
      <x:c r="M44" t="str">
        <x:v>Not Started</x:v>
      </x:c>
      <x:c r="N44" t="str">
        <x:v>High</x:v>
      </x:c>
      <x:c r="O44" t="str"/>
      <x:c r="P44" t="str"/>
    </x:row>
    <x:row r="45">
      <x:c r="A45" t="str">
        <x:v>T044</x:v>
      </x:c>
      <x:c r="B45" t="str">
        <x:v>Centre</x:v>
      </x:c>
      <x:c r="C45" t="str">
        <x:v>4 Board &amp; Finish</x:v>
      </x:c>
      <x:c r="D45" t="str">
        <x:v>Board centre face</x:v>
      </x:c>
      <x:c r="E45" t="str">
        <x:v>Fix plasterboard/MDF to new frame, keeping fire/chimney opening clear.</x:v>
      </x:c>
      <x:c r="F45" t="str">
        <x:v>Bolaji</x:v>
      </x:c>
      <x:c r="G45" t="str">
        <x:v>Beginner</x:v>
      </x:c>
      <x:c r="H45" t="str">
        <x:v>Build centre timber frame</x:v>
      </x:c>
      <x:c r="I45" s="12" t="n">
        <x:v>4</x:v>
      </x:c>
      <x:c r="J45" s="14" t="n">
        <x:v>35</x:v>
      </x:c>
      <x:c r="K45" s="14" t="n">
        <x:v>70</x:v>
      </x:c>
      <x:c r="L45" s="14" t="n">
        <x:v>120</x:v>
      </x:c>
      <x:c r="M45" t="str">
        <x:v>Not Started</x:v>
      </x:c>
      <x:c r="N45" t="str">
        <x:v>High</x:v>
      </x:c>
      <x:c r="O45" t="str"/>
      <x:c r="P45" t="str"/>
    </x:row>
    <x:row r="46">
      <x:c r="A46" t="str">
        <x:v>T045</x:v>
      </x:c>
      <x:c r="B46" t="str">
        <x:v>Centre</x:v>
      </x:c>
      <x:c r="C46" t="str">
        <x:v>4 Board &amp; Finish</x:v>
      </x:c>
      <x:c r="D46" t="str">
        <x:v>Tape, fill and sand</x:v>
      </x:c>
      <x:c r="E46" t="str">
        <x:v>Tape board joints, fill screw holes, feather edges, sand smooth.</x:v>
      </x:c>
      <x:c r="F46" t="str">
        <x:v>Bolaji</x:v>
      </x:c>
      <x:c r="G46" t="str">
        <x:v>Beginner</x:v>
      </x:c>
      <x:c r="H46" t="str"/>
      <x:c r="I46" s="12" t="n">
        <x:v>4</x:v>
      </x:c>
      <x:c r="J46" s="14" t="n">
        <x:v>25</x:v>
      </x:c>
      <x:c r="K46" s="14" t="n">
        <x:v>45</x:v>
      </x:c>
      <x:c r="L46" s="14" t="n">
        <x:v>75</x:v>
      </x:c>
      <x:c r="M46" t="str">
        <x:v>Not Started</x:v>
      </x:c>
      <x:c r="N46" t="str">
        <x:v>High</x:v>
      </x:c>
      <x:c r="O46" t="str"/>
      <x:c r="P46" t="str"/>
    </x:row>
    <x:row r="47">
      <x:c r="A47" t="str">
        <x:v>T046</x:v>
      </x:c>
      <x:c r="B47" t="str">
        <x:v>Centre</x:v>
      </x:c>
      <x:c r="C47" t="str">
        <x:v>4 Board &amp; Finish</x:v>
      </x:c>
      <x:c r="D47" t="str">
        <x:v>Prime centre section</x:v>
      </x:c>
      <x:c r="E47" t="str">
        <x:v>Prime bare board/MDF ready for final paint.</x:v>
      </x:c>
      <x:c r="F47" t="str">
        <x:v>Bolaji</x:v>
      </x:c>
      <x:c r="G47" t="str">
        <x:v>Beginner</x:v>
      </x:c>
      <x:c r="H47" t="str"/>
      <x:c r="I47" s="12" t="n">
        <x:v>1.5</x:v>
      </x:c>
      <x:c r="J47" s="14" t="n">
        <x:v>20</x:v>
      </x:c>
      <x:c r="K47" s="14" t="n">
        <x:v>30</x:v>
      </x:c>
      <x:c r="L47" s="14" t="n">
        <x:v>50</x:v>
      </x:c>
      <x:c r="M47" t="str">
        <x:v>Not Started</x:v>
      </x:c>
      <x:c r="N47" t="str">
        <x:v>High</x:v>
      </x:c>
      <x:c r="O47" t="str"/>
      <x:c r="P47" t="str"/>
    </x:row>
    <x:row r="48">
      <x:c r="A48" t="str">
        <x:v>T047</x:v>
      </x:c>
      <x:c r="B48" t="str">
        <x:v>Left</x:v>
      </x:c>
      <x:c r="C48" t="str">
        <x:v>4 Board &amp; Finish</x:v>
      </x:c>
      <x:c r="D48" t="str">
        <x:v>Make good alcove wall</x:v>
      </x:c>
      <x:c r="E48" t="str">
        <x:v>Fill areas where mouldings/corbel were removed; sand smooth.</x:v>
      </x:c>
      <x:c r="F48" t="str">
        <x:v>Bolaji</x:v>
      </x:c>
      <x:c r="G48" t="str">
        <x:v>Beginner</x:v>
      </x:c>
      <x:c r="H48" t="str"/>
      <x:c r="I48" s="12" t="n">
        <x:v>3</x:v>
      </x:c>
      <x:c r="J48" s="14" t="n">
        <x:v>20</x:v>
      </x:c>
      <x:c r="K48" s="14" t="n">
        <x:v>40</x:v>
      </x:c>
      <x:c r="L48" s="14" t="n">
        <x:v>70</x:v>
      </x:c>
      <x:c r="M48" t="str">
        <x:v>Not Started</x:v>
      </x:c>
      <x:c r="N48" t="str">
        <x:v>High</x:v>
      </x:c>
      <x:c r="O48" t="str"/>
      <x:c r="P48" t="str"/>
    </x:row>
    <x:row r="49">
      <x:c r="A49" t="str">
        <x:v>T048</x:v>
      </x:c>
      <x:c r="B49" t="str">
        <x:v>Left</x:v>
      </x:c>
      <x:c r="C49" t="str">
        <x:v>4 Board &amp; Finish</x:v>
      </x:c>
      <x:c r="D49" t="str">
        <x:v>Board back panel if needed</x:v>
      </x:c>
      <x:c r="E49" t="str">
        <x:v>If wall is too damaged, fit a clean MDF/plasterboard back panel.</x:v>
      </x:c>
      <x:c r="F49" t="str">
        <x:v>Bolaji</x:v>
      </x:c>
      <x:c r="G49" t="str">
        <x:v>Beginner</x:v>
      </x:c>
      <x:c r="H49" t="str"/>
      <x:c r="I49" s="12" t="n">
        <x:v>3</x:v>
      </x:c>
      <x:c r="J49" s="14" t="n">
        <x:v>35</x:v>
      </x:c>
      <x:c r="K49" s="14" t="n">
        <x:v>70</x:v>
      </x:c>
      <x:c r="L49" s="14" t="n">
        <x:v>130</x:v>
      </x:c>
      <x:c r="M49" t="str">
        <x:v>Not Started</x:v>
      </x:c>
      <x:c r="N49" t="str">
        <x:v>High</x:v>
      </x:c>
      <x:c r="O49" t="str"/>
      <x:c r="P49" t="str"/>
    </x:row>
    <x:row r="50">
      <x:c r="A50" t="str">
        <x:v>T049</x:v>
      </x:c>
      <x:c r="B50" t="str">
        <x:v>Left</x:v>
      </x:c>
      <x:c r="C50" t="str">
        <x:v>4 Board &amp; Finish</x:v>
      </x:c>
      <x:c r="D50" t="str">
        <x:v>Prime cabinet and wall surfaces</x:v>
      </x:c>
      <x:c r="E50" t="str">
        <x:v>Prime MDF/cabinet doors and repaired wall areas.</x:v>
      </x:c>
      <x:c r="F50" t="str">
        <x:v>Bolaji</x:v>
      </x:c>
      <x:c r="G50" t="str">
        <x:v>Beginner</x:v>
      </x:c>
      <x:c r="H50" t="str"/>
      <x:c r="I50" s="12" t="n">
        <x:v>2</x:v>
      </x:c>
      <x:c r="J50" s="14" t="n">
        <x:v>20</x:v>
      </x:c>
      <x:c r="K50" s="14" t="n">
        <x:v>35</x:v>
      </x:c>
      <x:c r="L50" s="14" t="n">
        <x:v>60</x:v>
      </x:c>
      <x:c r="M50" t="str">
        <x:v>Not Started</x:v>
      </x:c>
      <x:c r="N50" t="str">
        <x:v>High</x:v>
      </x:c>
      <x:c r="O50" t="str"/>
      <x:c r="P50" t="str"/>
    </x:row>
    <x:row r="51">
      <x:c r="A51" t="str">
        <x:v>T050</x:v>
      </x:c>
      <x:c r="B51" t="str">
        <x:v>Right</x:v>
      </x:c>
      <x:c r="C51" t="str">
        <x:v>4 Board &amp; Finish</x:v>
      </x:c>
      <x:c r="D51" t="str">
        <x:v>Make good alcove wall</x:v>
      </x:c>
      <x:c r="E51" t="str">
        <x:v>Fill areas where mouldings/corbel were removed; sand smooth.</x:v>
      </x:c>
      <x:c r="F51" t="str">
        <x:v>Bolaji</x:v>
      </x:c>
      <x:c r="G51" t="str">
        <x:v>Beginner</x:v>
      </x:c>
      <x:c r="H51" t="str"/>
      <x:c r="I51" s="12" t="n">
        <x:v>3</x:v>
      </x:c>
      <x:c r="J51" s="14" t="n">
        <x:v>20</x:v>
      </x:c>
      <x:c r="K51" s="14" t="n">
        <x:v>40</x:v>
      </x:c>
      <x:c r="L51" s="14" t="n">
        <x:v>70</x:v>
      </x:c>
      <x:c r="M51" t="str">
        <x:v>Not Started</x:v>
      </x:c>
      <x:c r="N51" t="str">
        <x:v>High</x:v>
      </x:c>
      <x:c r="O51" t="str"/>
      <x:c r="P51" t="str"/>
    </x:row>
    <x:row r="52">
      <x:c r="A52" t="str">
        <x:v>T051</x:v>
      </x:c>
      <x:c r="B52" t="str">
        <x:v>Right</x:v>
      </x:c>
      <x:c r="C52" t="str">
        <x:v>4 Board &amp; Finish</x:v>
      </x:c>
      <x:c r="D52" t="str">
        <x:v>Board back panel if needed</x:v>
      </x:c>
      <x:c r="E52" t="str">
        <x:v>If wall is too damaged, fit a clean MDF/plasterboard back panel.</x:v>
      </x:c>
      <x:c r="F52" t="str">
        <x:v>Bolaji</x:v>
      </x:c>
      <x:c r="G52" t="str">
        <x:v>Beginner</x:v>
      </x:c>
      <x:c r="H52" t="str"/>
      <x:c r="I52" s="12" t="n">
        <x:v>3</x:v>
      </x:c>
      <x:c r="J52" s="14" t="n">
        <x:v>35</x:v>
      </x:c>
      <x:c r="K52" s="14" t="n">
        <x:v>70</x:v>
      </x:c>
      <x:c r="L52" s="14" t="n">
        <x:v>130</x:v>
      </x:c>
      <x:c r="M52" t="str">
        <x:v>Not Started</x:v>
      </x:c>
      <x:c r="N52" t="str">
        <x:v>High</x:v>
      </x:c>
      <x:c r="O52" t="str"/>
      <x:c r="P52" t="str"/>
    </x:row>
    <x:row r="53">
      <x:c r="A53" t="str">
        <x:v>T052</x:v>
      </x:c>
      <x:c r="B53" t="str">
        <x:v>Right</x:v>
      </x:c>
      <x:c r="C53" t="str">
        <x:v>4 Board &amp; Finish</x:v>
      </x:c>
      <x:c r="D53" t="str">
        <x:v>Prime cabinet and wall surfaces</x:v>
      </x:c>
      <x:c r="E53" t="str">
        <x:v>Prime MDF/cabinet doors and repaired wall areas.</x:v>
      </x:c>
      <x:c r="F53" t="str">
        <x:v>Bolaji</x:v>
      </x:c>
      <x:c r="G53" t="str">
        <x:v>Beginner</x:v>
      </x:c>
      <x:c r="H53" t="str"/>
      <x:c r="I53" s="12" t="n">
        <x:v>2</x:v>
      </x:c>
      <x:c r="J53" s="14" t="n">
        <x:v>20</x:v>
      </x:c>
      <x:c r="K53" s="14" t="n">
        <x:v>35</x:v>
      </x:c>
      <x:c r="L53" s="14" t="n">
        <x:v>60</x:v>
      </x:c>
      <x:c r="M53" t="str">
        <x:v>Not Started</x:v>
      </x:c>
      <x:c r="N53" t="str">
        <x:v>High</x:v>
      </x:c>
      <x:c r="O53" t="str"/>
      <x:c r="P53" t="str"/>
    </x:row>
    <x:row r="54">
      <x:c r="A54" t="str">
        <x:v>T053</x:v>
      </x:c>
      <x:c r="B54" t="str">
        <x:v>Centre</x:v>
      </x:c>
      <x:c r="C54" t="str">
        <x:v>5 Cut Opening</x:v>
      </x:c>
      <x:c r="D54" t="str">
        <x:v>Confirm exact fire aperture</x:v>
      </x:c>
      <x:c r="E54" t="str">
        <x:v>Read fire manual; mark exact width/height plus clearance.</x:v>
      </x:c>
      <x:c r="F54" t="str">
        <x:v>Bolaji</x:v>
      </x:c>
      <x:c r="G54" t="str">
        <x:v>Beginner</x:v>
      </x:c>
      <x:c r="H54" t="str">
        <x:v>Target fire model</x:v>
      </x:c>
      <x:c r="I54" s="12" t="n">
        <x:v>1</x:v>
      </x:c>
      <x:c r="J54" s="14" t="n">
        <x:v>0</x:v>
      </x:c>
      <x:c r="K54" s="14" t="n">
        <x:v>0</x:v>
      </x:c>
      <x:c r="L54" s="14" t="n">
        <x:v>0</x:v>
      </x:c>
      <x:c r="M54" t="str">
        <x:v>Not Started</x:v>
      </x:c>
      <x:c r="N54" t="str">
        <x:v>High</x:v>
      </x:c>
      <x:c r="O54" t="str"/>
      <x:c r="P54" t="str"/>
    </x:row>
    <x:row r="55">
      <x:c r="A55" t="str">
        <x:v>T054</x:v>
      </x:c>
      <x:c r="B55" t="str">
        <x:v>Centre</x:v>
      </x:c>
      <x:c r="C55" t="str">
        <x:v>5 Cut Opening</x:v>
      </x:c>
      <x:c r="D55" t="str">
        <x:v>Cut new fire opening</x:v>
      </x:c>
      <x:c r="E55" t="str">
        <x:v>Drill starter holes; cut clean rectangular opening with jigsaw/multitool; check level.</x:v>
      </x:c>
      <x:c r="F55" t="str">
        <x:v>Bolaji</x:v>
      </x:c>
      <x:c r="G55" t="str">
        <x:v>Beginner</x:v>
      </x:c>
      <x:c r="H55" t="str">
        <x:v>Board centre face</x:v>
      </x:c>
      <x:c r="I55" s="12" t="n">
        <x:v>3</x:v>
      </x:c>
      <x:c r="J55" s="14" t="n">
        <x:v>0</x:v>
      </x:c>
      <x:c r="K55" s="14" t="n">
        <x:v>10</x:v>
      </x:c>
      <x:c r="L55" s="14" t="n">
        <x:v>30</x:v>
      </x:c>
      <x:c r="M55" t="str">
        <x:v>Not Started</x:v>
      </x:c>
      <x:c r="N55" t="str">
        <x:v>High</x:v>
      </x:c>
      <x:c r="O55" t="str"/>
      <x:c r="P55" t="str"/>
    </x:row>
    <x:row r="56">
      <x:c r="A56" t="str">
        <x:v>T055</x:v>
      </x:c>
      <x:c r="B56" t="str">
        <x:v>Centre</x:v>
      </x:c>
      <x:c r="C56" t="str">
        <x:v>5 Cut Opening</x:v>
      </x:c>
      <x:c r="D56" t="str">
        <x:v>Strengthen aperture edges</x:v>
      </x:c>
      <x:c r="E56" t="str">
        <x:v>Add extra timber/MDF edge strips if opening is wide; ensure fire sits securely.</x:v>
      </x:c>
      <x:c r="F56" t="str">
        <x:v>Bolaji</x:v>
      </x:c>
      <x:c r="G56" t="str">
        <x:v>Beginner</x:v>
      </x:c>
      <x:c r="H56" t="str"/>
      <x:c r="I56" s="12" t="n">
        <x:v>1.5</x:v>
      </x:c>
      <x:c r="J56" s="14" t="n">
        <x:v>20</x:v>
      </x:c>
      <x:c r="K56" s="14" t="n">
        <x:v>40</x:v>
      </x:c>
      <x:c r="L56" s="14" t="n">
        <x:v>70</x:v>
      </x:c>
      <x:c r="M56" t="str">
        <x:v>Not Started</x:v>
      </x:c>
      <x:c r="N56" t="str">
        <x:v>High</x:v>
      </x:c>
      <x:c r="O56" t="str"/>
      <x:c r="P56" t="str"/>
    </x:row>
    <x:row r="57">
      <x:c r="A57" t="str">
        <x:v>T056</x:v>
      </x:c>
      <x:c r="B57" t="str">
        <x:v>Centre</x:v>
      </x:c>
      <x:c r="C57" t="str">
        <x:v>5 Cut Opening</x:v>
      </x:c>
      <x:c r="D57" t="str">
        <x:v>Test fit fire before paint</x:v>
      </x:c>
      <x:c r="E57" t="str">
        <x:v>Dry fit fire; check clearances; remove before final paint.</x:v>
      </x:c>
      <x:c r="F57" t="str">
        <x:v>Bolaji</x:v>
      </x:c>
      <x:c r="G57" t="str">
        <x:v>Beginner</x:v>
      </x:c>
      <x:c r="H57" t="str"/>
      <x:c r="I57" s="12" t="n">
        <x:v>1</x:v>
      </x:c>
      <x:c r="J57" s="14" t="n">
        <x:v>0</x:v>
      </x:c>
      <x:c r="K57" s="14" t="n">
        <x:v>0</x:v>
      </x:c>
      <x:c r="L57" s="14" t="n">
        <x:v>0</x:v>
      </x:c>
      <x:c r="M57" t="str">
        <x:v>Not Started</x:v>
      </x:c>
      <x:c r="N57" t="str">
        <x:v>High</x:v>
      </x:c>
      <x:c r="O57" t="str"/>
      <x:c r="P57" t="str"/>
    </x:row>
    <x:row r="58">
      <x:c r="A58" t="str">
        <x:v>T057</x:v>
      </x:c>
      <x:c r="B58" t="str">
        <x:v>Centre</x:v>
      </x:c>
      <x:c r="C58" t="str">
        <x:v>6 Install Fire &amp; Finish</x:v>
      </x:c>
      <x:c r="D58" t="str">
        <x:v>Paint centre wall</x:v>
      </x:c>
      <x:c r="E58" t="str">
        <x:v>Apply Bantry/Studio Green or chosen dark green; two coats.</x:v>
      </x:c>
      <x:c r="F58" t="str">
        <x:v>Bolaji</x:v>
      </x:c>
      <x:c r="G58" t="str">
        <x:v>Beginner</x:v>
      </x:c>
      <x:c r="H58" t="str"/>
      <x:c r="I58" s="12" t="n">
        <x:v>3</x:v>
      </x:c>
      <x:c r="J58" s="14" t="n">
        <x:v>35</x:v>
      </x:c>
      <x:c r="K58" s="14" t="n">
        <x:v>60</x:v>
      </x:c>
      <x:c r="L58" s="14" t="n">
        <x:v>90</x:v>
      </x:c>
      <x:c r="M58" t="str">
        <x:v>Not Started</x:v>
      </x:c>
      <x:c r="N58" t="str">
        <x:v>High</x:v>
      </x:c>
      <x:c r="O58" t="str"/>
      <x:c r="P58" t="str"/>
    </x:row>
    <x:row r="59">
      <x:c r="A59" t="str">
        <x:v>T058</x:v>
      </x:c>
      <x:c r="B59" t="str">
        <x:v>Left</x:v>
      </x:c>
      <x:c r="C59" t="str">
        <x:v>6 Install Fire &amp; Finish</x:v>
      </x:c>
      <x:c r="D59" t="str">
        <x:v>Paint left module</x:v>
      </x:c>
      <x:c r="E59" t="str">
        <x:v>Paint wall/back panels/cabinet in chosen scheme; black cabinet if scoped.</x:v>
      </x:c>
      <x:c r="F59" t="str">
        <x:v>Bolaji</x:v>
      </x:c>
      <x:c r="G59" t="str">
        <x:v>Beginner</x:v>
      </x:c>
      <x:c r="H59" t="str"/>
      <x:c r="I59" s="12" t="n">
        <x:v>3</x:v>
      </x:c>
      <x:c r="J59" s="14" t="n">
        <x:v>35</x:v>
      </x:c>
      <x:c r="K59" s="14" t="n">
        <x:v>60</x:v>
      </x:c>
      <x:c r="L59" s="14" t="n">
        <x:v>90</x:v>
      </x:c>
      <x:c r="M59" t="str">
        <x:v>Not Started</x:v>
      </x:c>
      <x:c r="N59" t="str">
        <x:v>High</x:v>
      </x:c>
      <x:c r="O59" t="str"/>
      <x:c r="P59" t="str"/>
    </x:row>
    <x:row r="60">
      <x:c r="A60" t="str">
        <x:v>T059</x:v>
      </x:c>
      <x:c r="B60" t="str">
        <x:v>Right</x:v>
      </x:c>
      <x:c r="C60" t="str">
        <x:v>6 Install Fire &amp; Finish</x:v>
      </x:c>
      <x:c r="D60" t="str">
        <x:v>Paint right module</x:v>
      </x:c>
      <x:c r="E60" t="str">
        <x:v>Paint wall/back panels/cabinet in chosen scheme; black cabinet if scoped.</x:v>
      </x:c>
      <x:c r="F60" t="str">
        <x:v>Bolaji</x:v>
      </x:c>
      <x:c r="G60" t="str">
        <x:v>Beginner</x:v>
      </x:c>
      <x:c r="H60" t="str"/>
      <x:c r="I60" s="12" t="n">
        <x:v>3</x:v>
      </x:c>
      <x:c r="J60" s="14" t="n">
        <x:v>35</x:v>
      </x:c>
      <x:c r="K60" s="14" t="n">
        <x:v>60</x:v>
      </x:c>
      <x:c r="L60" s="14" t="n">
        <x:v>90</x:v>
      </x:c>
      <x:c r="M60" t="str">
        <x:v>Not Started</x:v>
      </x:c>
      <x:c r="N60" t="str">
        <x:v>High</x:v>
      </x:c>
      <x:c r="O60" t="str"/>
      <x:c r="P60" t="str"/>
    </x:row>
    <x:row r="61">
      <x:c r="A61" t="str">
        <x:v>T060</x:v>
      </x:c>
      <x:c r="B61" t="str">
        <x:v>Centre</x:v>
      </x:c>
      <x:c r="C61" t="str">
        <x:v>6 Install Fire &amp; Finish</x:v>
      </x:c>
      <x:c r="D61" t="str">
        <x:v>Install electric fire</x:v>
      </x:c>
      <x:c r="E61" t="str">
        <x:v>Install fire according to manufacturer instructions; do not block vents.</x:v>
      </x:c>
      <x:c r="F61" t="str">
        <x:v>Bolaji</x:v>
      </x:c>
      <x:c r="G61" t="str">
        <x:v>Beginner</x:v>
      </x:c>
      <x:c r="H61" t="str">
        <x:v>Paint centre wall</x:v>
      </x:c>
      <x:c r="I61" s="12" t="n">
        <x:v>2</x:v>
      </x:c>
      <x:c r="J61" s="14" t="n">
        <x:v>180</x:v>
      </x:c>
      <x:c r="K61" s="14" t="n">
        <x:v>350</x:v>
      </x:c>
      <x:c r="L61" s="14" t="n">
        <x:v>700</x:v>
      </x:c>
      <x:c r="M61" t="str">
        <x:v>Not Started</x:v>
      </x:c>
      <x:c r="N61" t="str">
        <x:v>High</x:v>
      </x:c>
      <x:c r="O61" t="str"/>
      <x:c r="P61" t="str"/>
    </x:row>
    <x:row r="62">
      <x:c r="A62" t="str">
        <x:v>T061</x:v>
      </x:c>
      <x:c r="B62" t="str">
        <x:v>Centre</x:v>
      </x:c>
      <x:c r="C62" t="str">
        <x:v>6 Install Fire &amp; Finish</x:v>
      </x:c>
      <x:c r="D62" t="str">
        <x:v>Reinstall TV/soundbar</x:v>
      </x:c>
      <x:c r="E62" t="str">
        <x:v>Mount TV and soundbar; hide/label cables; test all devices.</x:v>
      </x:c>
      <x:c r="F62" t="str">
        <x:v>Bolaji</x:v>
      </x:c>
      <x:c r="G62" t="str">
        <x:v>Beginner</x:v>
      </x:c>
      <x:c r="H62" t="str"/>
      <x:c r="I62" s="12" t="n">
        <x:v>2</x:v>
      </x:c>
      <x:c r="J62" s="14" t="n">
        <x:v>0</x:v>
      </x:c>
      <x:c r="K62" s="14" t="n">
        <x:v>20</x:v>
      </x:c>
      <x:c r="L62" s="14" t="n">
        <x:v>60</x:v>
      </x:c>
      <x:c r="M62" t="str">
        <x:v>Not Started</x:v>
      </x:c>
      <x:c r="N62" t="str">
        <x:v>High</x:v>
      </x:c>
      <x:c r="O62" t="str"/>
      <x:c r="P62" t="str"/>
    </x:row>
    <x:row r="63">
      <x:c r="A63" t="str">
        <x:v>T062</x:v>
      </x:c>
      <x:c r="B63" t="str">
        <x:v>Left</x:v>
      </x:c>
      <x:c r="C63" t="str">
        <x:v>6 Install Fire &amp; Finish</x:v>
      </x:c>
      <x:c r="D63" t="str">
        <x:v>Install shelves</x:v>
      </x:c>
      <x:c r="E63" t="str">
        <x:v>Fit oak/walnut shelves; check level; install LED strips if chosen.</x:v>
      </x:c>
      <x:c r="F63" t="str">
        <x:v>Bolaji</x:v>
      </x:c>
      <x:c r="G63" t="str">
        <x:v>Beginner</x:v>
      </x:c>
      <x:c r="H63" t="str"/>
      <x:c r="I63" s="12" t="n">
        <x:v>3</x:v>
      </x:c>
      <x:c r="J63" s="14" t="n">
        <x:v>100</x:v>
      </x:c>
      <x:c r="K63" s="14" t="n">
        <x:v>180</x:v>
      </x:c>
      <x:c r="L63" s="14" t="n">
        <x:v>320</x:v>
      </x:c>
      <x:c r="M63" t="str">
        <x:v>Not Started</x:v>
      </x:c>
      <x:c r="N63" t="str">
        <x:v>High</x:v>
      </x:c>
      <x:c r="O63" t="str"/>
      <x:c r="P63" t="str"/>
    </x:row>
    <x:row r="64">
      <x:c r="A64" t="str">
        <x:v>T063</x:v>
      </x:c>
      <x:c r="B64" t="str">
        <x:v>Right</x:v>
      </x:c>
      <x:c r="C64" t="str">
        <x:v>6 Install Fire &amp; Finish</x:v>
      </x:c>
      <x:c r="D64" t="str">
        <x:v>Install shelves</x:v>
      </x:c>
      <x:c r="E64" t="str">
        <x:v>Fit oak/walnut shelves; check level; install LED strips if chosen.</x:v>
      </x:c>
      <x:c r="F64" t="str">
        <x:v>Bolaji</x:v>
      </x:c>
      <x:c r="G64" t="str">
        <x:v>Beginner</x:v>
      </x:c>
      <x:c r="H64" t="str"/>
      <x:c r="I64" s="12" t="n">
        <x:v>3</x:v>
      </x:c>
      <x:c r="J64" s="14" t="n">
        <x:v>100</x:v>
      </x:c>
      <x:c r="K64" s="14" t="n">
        <x:v>180</x:v>
      </x:c>
      <x:c r="L64" s="14" t="n">
        <x:v>320</x:v>
      </x:c>
      <x:c r="M64" t="str">
        <x:v>Not Started</x:v>
      </x:c>
      <x:c r="N64" t="str">
        <x:v>High</x:v>
      </x:c>
      <x:c r="O64" t="str"/>
      <x:c r="P64" t="str"/>
    </x:row>
    <x:row r="65">
      <x:c r="A65" t="str">
        <x:v>T064</x:v>
      </x:c>
      <x:c r="B65" t="str">
        <x:v>Left</x:v>
      </x:c>
      <x:c r="C65" t="str">
        <x:v>6 Install Fire &amp; Finish</x:v>
      </x:c>
      <x:c r="D65" t="str">
        <x:v>Fit cabinet handles</x:v>
      </x:c>
      <x:c r="E65" t="str">
        <x:v>Install gold/brass handles on black/fluted doors; align carefully.</x:v>
      </x:c>
      <x:c r="F65" t="str">
        <x:v>Bolaji</x:v>
      </x:c>
      <x:c r="G65" t="str">
        <x:v>Beginner</x:v>
      </x:c>
      <x:c r="H65" t="str"/>
      <x:c r="I65" s="12" t="n">
        <x:v>1</x:v>
      </x:c>
      <x:c r="J65" s="14" t="n">
        <x:v>20</x:v>
      </x:c>
      <x:c r="K65" s="14" t="n">
        <x:v>40</x:v>
      </x:c>
      <x:c r="L65" s="14" t="n">
        <x:v>80</x:v>
      </x:c>
      <x:c r="M65" t="str">
        <x:v>Not Started</x:v>
      </x:c>
      <x:c r="N65" t="str">
        <x:v>High</x:v>
      </x:c>
      <x:c r="O65" t="str"/>
      <x:c r="P65" t="str"/>
    </x:row>
    <x:row r="66">
      <x:c r="A66" t="str">
        <x:v>T065</x:v>
      </x:c>
      <x:c r="B66" t="str">
        <x:v>Right</x:v>
      </x:c>
      <x:c r="C66" t="str">
        <x:v>6 Install Fire &amp; Finish</x:v>
      </x:c>
      <x:c r="D66" t="str">
        <x:v>Fit cabinet handles</x:v>
      </x:c>
      <x:c r="E66" t="str">
        <x:v>Install gold/brass handles on black/fluted doors; align carefully.</x:v>
      </x:c>
      <x:c r="F66" t="str">
        <x:v>Bolaji</x:v>
      </x:c>
      <x:c r="G66" t="str">
        <x:v>Beginner</x:v>
      </x:c>
      <x:c r="H66" t="str"/>
      <x:c r="I66" s="12" t="n">
        <x:v>1</x:v>
      </x:c>
      <x:c r="J66" s="14" t="n">
        <x:v>20</x:v>
      </x:c>
      <x:c r="K66" s="14" t="n">
        <x:v>40</x:v>
      </x:c>
      <x:c r="L66" s="14" t="n">
        <x:v>80</x:v>
      </x:c>
      <x:c r="M66" t="str">
        <x:v>Not Started</x:v>
      </x:c>
      <x:c r="N66" t="str">
        <x:v>High</x:v>
      </x:c>
      <x:c r="O66" t="str"/>
      <x:c r="P66" t="str"/>
    </x:row>
    <x:row r="67">
      <x:c r="A67" t="str">
        <x:v>T066</x:v>
      </x:c>
      <x:c r="B67" t="str">
        <x:v>Whole Wall F</x:v>
      </x:c>
      <x:c r="C67" t="str">
        <x:v>6 Install Fire &amp; Finish</x:v>
      </x:c>
      <x:c r="D67" t="str">
        <x:v>Install LED lighting</x:v>
      </x:c>
      <x:c r="E67" t="str">
        <x:v>Fit LED strips under shelves/plinth/TV recess; use electrician if tying into fixed circuit.</x:v>
      </x:c>
      <x:c r="F67" t="str">
        <x:v>Bolaji</x:v>
      </x:c>
      <x:c r="G67" t="str">
        <x:v>Intermediate / electrician if fixed</x:v>
      </x:c>
      <x:c r="H67" t="str"/>
      <x:c r="I67" s="12" t="n">
        <x:v>4</x:v>
      </x:c>
      <x:c r="J67" s="14" t="n">
        <x:v>80</x:v>
      </x:c>
      <x:c r="K67" s="14" t="n">
        <x:v>160</x:v>
      </x:c>
      <x:c r="L67" s="14" t="n">
        <x:v>350</x:v>
      </x:c>
      <x:c r="M67" t="str">
        <x:v>Not Started</x:v>
      </x:c>
      <x:c r="N67" t="str">
        <x:v>High</x:v>
      </x:c>
      <x:c r="O67" t="str"/>
      <x:c r="P67" t="str"/>
    </x:row>
    <x:row r="68">
      <x:c r="A68" t="str">
        <x:v>T067</x:v>
      </x:c>
      <x:c r="B68" t="str">
        <x:v>Whole Wall F</x:v>
      </x:c>
      <x:c r="C68" t="str">
        <x:v>6 Install Fire &amp; Finish</x:v>
      </x:c>
      <x:c r="D68" t="str">
        <x:v>Final snagging</x:v>
      </x:c>
      <x:c r="E68" t="str">
        <x:v>Touch up paint, caulk tiny gaps, clean glass, test fire/TV/lights, style shelves.</x:v>
      </x:c>
      <x:c r="F68" t="str">
        <x:v>Bolaji</x:v>
      </x:c>
      <x:c r="G68" t="str">
        <x:v>Beginner</x:v>
      </x:c>
      <x:c r="H68" t="str"/>
      <x:c r="I68" s="12" t="n">
        <x:v>4</x:v>
      </x:c>
      <x:c r="J68" s="14" t="n">
        <x:v>40</x:v>
      </x:c>
      <x:c r="K68" s="14" t="n">
        <x:v>100</x:v>
      </x:c>
      <x:c r="L68" s="14" t="n">
        <x:v>250</x:v>
      </x:c>
      <x:c r="M68" t="str">
        <x:v>Not Started</x:v>
      </x:c>
      <x:c r="N68" t="str">
        <x:v>High</x:v>
      </x:c>
      <x:c r="O68" t="str"/>
      <x:c r="P68" t="str"/>
    </x:row>
    <x:row r="69">
      <x:c r="A69" t="str">
        <x:v>T068</x:v>
      </x:c>
      <x:c r="B69" t="str">
        <x:v>Whole Wall F</x:v>
      </x:c>
      <x:c r="C69" t="str">
        <x:v>6 Install Fire &amp; Finish</x:v>
      </x:c>
      <x:c r="D69" t="str">
        <x:v>Waste disposal</x:v>
      </x:c>
      <x:c r="E69" t="str">
        <x:v>Bag waste; take larger pieces to tip or arrange collection.</x:v>
      </x:c>
      <x:c r="F69" t="str">
        <x:v>Bolaji</x:v>
      </x:c>
      <x:c r="G69" t="str">
        <x:v>Beginner</x:v>
      </x:c>
      <x:c r="H69" t="str"/>
      <x:c r="I69" s="12" t="n">
        <x:v>2</x:v>
      </x:c>
      <x:c r="J69" s="14" t="n">
        <x:v>0</x:v>
      </x:c>
      <x:c r="K69" s="14" t="n">
        <x:v>40</x:v>
      </x:c>
      <x:c r="L69" s="14" t="n">
        <x:v>120</x:v>
      </x:c>
      <x:c r="M69" t="str">
        <x:v>Not Started</x:v>
      </x:c>
      <x:c r="N69" t="str">
        <x:v>High</x:v>
      </x:c>
      <x:c r="O69" t="str"/>
      <x:c r="P69" t="str"/>
    </x:row>
  </x:sheetData>
  <x:conditionalFormatting sqref="M2:M69">
    <x:cfRule type="expression" dxfId="0" priority="1">
      <x:formula>M2="Done"</x:formula>
    </x:cfRule>
    <x:cfRule type="expression" dxfId="1" priority="2">
      <x:formula>M2="Blocked"</x:formula>
    </x:cfRule>
  </x:conditionalFormatting>
  <x:conditionalFormatting sqref="N2:N69">
    <x:cfRule type="expression" dxfId="2" priority="3">
      <x:formula>N2="Critical"</x:formula>
    </x:cfRule>
  </x:conditionalFormatting>
  <x:dataValidations count="2">
    <x:dataValidation type="list" sqref="M2:M69">
      <x:formula1>"Not Started,In Progress,Blocked,Done,Deferred"</x:formula1>
    </x:dataValidation>
    <x:dataValidation type="list" sqref="N2:N69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9ff325d7644b5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16" hidden="0" customWidth="1"/>
    <x:col min="5" max="5" width="12" hidden="0" customWidth="1"/>
    <x:col min="6" max="6" width="8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  <x:col min="15" max="15" width="12" hidden="0" customWidth="1"/>
    <x:col min="16" max="16" width="36" hidden="0" customWidth="1"/>
    <x:col min="17" max="17" width="28" hidden="0" customWidth="1"/>
  </x:cols>
  <x:sheetData>
    <x:row r="1" ht="28" customHeight="1">
      <x:c r="A1" s="6" t="str">
        <x:v>Category</x:v>
      </x:c>
      <x:c r="B1" s="6" t="str">
        <x:v>Item</x:v>
      </x:c>
      <x:c r="C1" s="6" t="str">
        <x:v>Spec / Notes</x:v>
      </x:c>
      <x:c r="D1" s="6" t="str">
        <x:v>Phase</x:v>
      </x:c>
      <x:c r="E1" s="6" t="str">
        <x:v>Module</x:v>
      </x:c>
      <x:c r="F1" s="6" t="str">
        <x:v>Qty</x:v>
      </x:c>
      <x:c r="G1" s="6" t="str">
        <x:v>Unit</x:v>
      </x:c>
      <x:c r="H1" s="6" t="str">
        <x:v>Low Unit £</x:v>
      </x:c>
      <x:c r="I1" s="6" t="str">
        <x:v>Target Unit £</x:v>
      </x:c>
      <x:c r="J1" s="6" t="str">
        <x:v>High Unit £</x:v>
      </x:c>
      <x:c r="K1" s="6" t="str">
        <x:v>Low Total £</x:v>
      </x:c>
      <x:c r="L1" s="6" t="str">
        <x:v>Target Total £</x:v>
      </x:c>
      <x:c r="M1" s="6" t="str">
        <x:v>High Total £</x:v>
      </x:c>
      <x:c r="N1" s="6" t="str">
        <x:v>Buy Month/Week</x:v>
      </x:c>
      <x:c r="O1" s="6" t="str">
        <x:v>Status</x:v>
      </x:c>
      <x:c r="P1" s="6" t="str">
        <x:v>Source / URL</x:v>
      </x:c>
      <x:c r="Q1" s="6" t="str">
        <x:v>Notes</x:v>
      </x:c>
    </x:row>
    <x:row r="2">
      <x:c r="A2" t="str">
        <x:v>Protection</x:v>
      </x:c>
      <x:c r="B2" t="str">
        <x:v>Dust sheets</x:v>
      </x:c>
      <x:c r="C2" t="str">
        <x:v>Reusable fabric/plastic floor protection</x:v>
      </x:c>
      <x:c r="D2" t="str">
        <x:v>Remove</x:v>
      </x:c>
      <x:c r="E2" t="str">
        <x:v>Whole</x:v>
      </x:c>
      <x:c r="F2" t="n">
        <x:v>3</x:v>
      </x:c>
      <x:c r="G2" t="str">
        <x:v>pack</x:v>
      </x:c>
      <x:c r="H2" s="14" t="n">
        <x:v>5</x:v>
      </x:c>
      <x:c r="I2" s="14" t="n">
        <x:v>10</x:v>
      </x:c>
      <x:c r="J2" s="14" t="n">
        <x:v>20</x:v>
      </x:c>
      <x:c r="K2" s="14" t="n">
        <x:f>F2*H2</x:f>
        <x:v>15</x:v>
      </x:c>
      <x:c r="L2" s="14" t="n">
        <x:f>F2*I2</x:f>
        <x:v>30</x:v>
      </x:c>
      <x:c r="M2" s="14" t="n">
        <x:f>F2*J2</x:f>
        <x:v>60</x:v>
      </x:c>
      <x:c r="N2" t="str"/>
      <x:c r="O2" t="str">
        <x:v>Not Bought</x:v>
      </x:c>
      <x:c r="P2" t="str"/>
      <x:c r="Q2" t="str"/>
    </x:row>
    <x:row r="3">
      <x:c r="A3" t="str">
        <x:v>Protection</x:v>
      </x:c>
      <x:c r="B3" t="str">
        <x:v>Heavy duty rubble sacks</x:v>
      </x:c>
      <x:c r="C3" t="str">
        <x:v>For plaster, old trim and general waste</x:v>
      </x:c>
      <x:c r="D3" t="str">
        <x:v>Remove</x:v>
      </x:c>
      <x:c r="E3" t="str">
        <x:v>Whole</x:v>
      </x:c>
      <x:c r="F3" t="n">
        <x:v>2</x:v>
      </x:c>
      <x:c r="G3" t="str">
        <x:v>roll</x:v>
      </x:c>
      <x:c r="H3" s="14" t="n">
        <x:v>5</x:v>
      </x:c>
      <x:c r="I3" s="14" t="n">
        <x:v>8</x:v>
      </x:c>
      <x:c r="J3" s="14" t="n">
        <x:v>12</x:v>
      </x:c>
      <x:c r="K3" s="14" t="n">
        <x:f>F3*H3</x:f>
        <x:v>10</x:v>
      </x:c>
      <x:c r="L3" s="14" t="n">
        <x:f>F3*I3</x:f>
        <x:v>16</x:v>
      </x:c>
      <x:c r="M3" s="14" t="n">
        <x:f>F3*J3</x:f>
        <x:v>24</x:v>
      </x:c>
      <x:c r="N3" t="str"/>
      <x:c r="O3" t="str">
        <x:v>Not Bought</x:v>
      </x:c>
      <x:c r="P3" t="str"/>
      <x:c r="Q3" t="str"/>
    </x:row>
    <x:row r="4">
      <x:c r="A4" t="str">
        <x:v>PPE</x:v>
      </x:c>
      <x:c r="B4" t="str">
        <x:v>Dust masks</x:v>
      </x:c>
      <x:c r="C4" t="str">
        <x:v>FFP2 ideally for plaster/soot dust</x:v>
      </x:c>
      <x:c r="D4" t="str">
        <x:v>Remove</x:v>
      </x:c>
      <x:c r="E4" t="str">
        <x:v>Whole</x:v>
      </x:c>
      <x:c r="F4" t="n">
        <x:v>1</x:v>
      </x:c>
      <x:c r="G4" t="str">
        <x:v>box</x:v>
      </x:c>
      <x:c r="H4" s="14" t="n">
        <x:v>8</x:v>
      </x:c>
      <x:c r="I4" s="14" t="n">
        <x:v>15</x:v>
      </x:c>
      <x:c r="J4" s="14" t="n">
        <x:v>25</x:v>
      </x:c>
      <x:c r="K4" s="14" t="n">
        <x:f>F4*H4</x:f>
        <x:v>8</x:v>
      </x:c>
      <x:c r="L4" s="14" t="n">
        <x:f>F4*I4</x:f>
        <x:v>15</x:v>
      </x:c>
      <x:c r="M4" s="14" t="n">
        <x:f>F4*J4</x:f>
        <x:v>25</x:v>
      </x:c>
      <x:c r="N4" t="str"/>
      <x:c r="O4" t="str">
        <x:v>Not Bought</x:v>
      </x:c>
      <x:c r="P4" t="str"/>
      <x:c r="Q4" t="str"/>
    </x:row>
    <x:row r="5">
      <x:c r="A5" t="str">
        <x:v>PPE</x:v>
      </x:c>
      <x:c r="B5" t="str">
        <x:v>Safety glasses</x:v>
      </x:c>
      <x:c r="C5" t="str">
        <x:v>Clear eye protection</x:v>
      </x:c>
      <x:c r="D5" t="str">
        <x:v>Remove</x:v>
      </x:c>
      <x:c r="E5" t="str">
        <x:v>Whole</x:v>
      </x:c>
      <x:c r="F5" t="n">
        <x:v>2</x:v>
      </x:c>
      <x:c r="G5" t="str">
        <x:v>pair</x:v>
      </x:c>
      <x:c r="H5" s="14" t="n">
        <x:v>3</x:v>
      </x:c>
      <x:c r="I5" s="14" t="n">
        <x:v>6</x:v>
      </x:c>
      <x:c r="J5" s="14" t="n">
        <x:v>12</x:v>
      </x:c>
      <x:c r="K5" s="14" t="n">
        <x:f>F5*H5</x:f>
        <x:v>6</x:v>
      </x:c>
      <x:c r="L5" s="14" t="n">
        <x:f>F5*I5</x:f>
        <x:v>12</x:v>
      </x:c>
      <x:c r="M5" s="14" t="n">
        <x:f>F5*J5</x:f>
        <x:v>24</x:v>
      </x:c>
      <x:c r="N5" t="str"/>
      <x:c r="O5" t="str">
        <x:v>Not Bought</x:v>
      </x:c>
      <x:c r="P5" t="str"/>
      <x:c r="Q5" t="str"/>
    </x:row>
    <x:row r="6">
      <x:c r="A6" t="str">
        <x:v>PPE</x:v>
      </x:c>
      <x:c r="B6" t="str">
        <x:v>Work gloves</x:v>
      </x:c>
      <x:c r="C6" t="str">
        <x:v>General grip gloves</x:v>
      </x:c>
      <x:c r="D6" t="str">
        <x:v>Remove</x:v>
      </x:c>
      <x:c r="E6" t="str">
        <x:v>Whole</x:v>
      </x:c>
      <x:c r="F6" t="n">
        <x:v>2</x:v>
      </x:c>
      <x:c r="G6" t="str">
        <x:v>pair</x:v>
      </x:c>
      <x:c r="H6" s="14" t="n">
        <x:v>3</x:v>
      </x:c>
      <x:c r="I6" s="14" t="n">
        <x:v>6</x:v>
      </x:c>
      <x:c r="J6" s="14" t="n">
        <x:v>12</x:v>
      </x:c>
      <x:c r="K6" s="14" t="n">
        <x:f>F6*H6</x:f>
        <x:v>6</x:v>
      </x:c>
      <x:c r="L6" s="14" t="n">
        <x:f>F6*I6</x:f>
        <x:v>12</x:v>
      </x:c>
      <x:c r="M6" s="14" t="n">
        <x:f>F6*J6</x:f>
        <x:v>24</x:v>
      </x:c>
      <x:c r="N6" t="str"/>
      <x:c r="O6" t="str">
        <x:v>Not Bought</x:v>
      </x:c>
      <x:c r="P6" t="str"/>
      <x:c r="Q6" t="str"/>
    </x:row>
    <x:row r="7">
      <x:c r="A7" t="str">
        <x:v>Tools</x:v>
      </x:c>
      <x:c r="B7" t="str">
        <x:v>Utility knife blades</x:v>
      </x:c>
      <x:c r="C7" t="str">
        <x:v>Fresh blades for scoring caulk/paint</x:v>
      </x:c>
      <x:c r="D7" t="str">
        <x:v>Remove</x:v>
      </x:c>
      <x:c r="E7" t="str">
        <x:v>Whole</x:v>
      </x:c>
      <x:c r="F7" t="n">
        <x:v>1</x:v>
      </x:c>
      <x:c r="G7" t="str">
        <x:v>pack</x:v>
      </x:c>
      <x:c r="H7" s="14" t="n">
        <x:v>3</x:v>
      </x:c>
      <x:c r="I7" s="14" t="n">
        <x:v>5</x:v>
      </x:c>
      <x:c r="J7" s="14" t="n">
        <x:v>8</x:v>
      </x:c>
      <x:c r="K7" s="14" t="n">
        <x:f>F7*H7</x:f>
        <x:v>3</x:v>
      </x:c>
      <x:c r="L7" s="14" t="n">
        <x:f>F7*I7</x:f>
        <x:v>5</x:v>
      </x:c>
      <x:c r="M7" s="14" t="n">
        <x:f>F7*J7</x:f>
        <x:v>8</x:v>
      </x:c>
      <x:c r="N7" t="str"/>
      <x:c r="O7" t="str">
        <x:v>Not Bought</x:v>
      </x:c>
      <x:c r="P7" t="str"/>
      <x:c r="Q7" t="str"/>
    </x:row>
    <x:row r="8">
      <x:c r="A8" t="str">
        <x:v>Tools</x:v>
      </x:c>
      <x:c r="B8" t="str">
        <x:v>Paint scraper / filling knife</x:v>
      </x:c>
      <x:c r="C8" t="str">
        <x:v>Wide scraper for corbels and mouldings</x:v>
      </x:c>
      <x:c r="D8" t="str">
        <x:v>Remove</x:v>
      </x:c>
      <x:c r="E8" t="str">
        <x:v>Whole</x:v>
      </x:c>
      <x:c r="F8" t="n">
        <x:v>1</x:v>
      </x:c>
      <x:c r="G8" t="str">
        <x:v>each</x:v>
      </x:c>
      <x:c r="H8" s="14" t="n">
        <x:v>5</x:v>
      </x:c>
      <x:c r="I8" s="14" t="n">
        <x:v>8</x:v>
      </x:c>
      <x:c r="J8" s="14" t="n">
        <x:v>12</x:v>
      </x:c>
      <x:c r="K8" s="14" t="n">
        <x:f>F8*H8</x:f>
        <x:v>5</x:v>
      </x:c>
      <x:c r="L8" s="14" t="n">
        <x:f>F8*I8</x:f>
        <x:v>8</x:v>
      </x:c>
      <x:c r="M8" s="14" t="n">
        <x:f>F8*J8</x:f>
        <x:v>12</x:v>
      </x:c>
      <x:c r="N8" t="str"/>
      <x:c r="O8" t="str">
        <x:v>Not Bought</x:v>
      </x:c>
      <x:c r="P8" t="str"/>
      <x:c r="Q8" t="str"/>
    </x:row>
    <x:row r="9">
      <x:c r="A9" t="str">
        <x:v>Tools</x:v>
      </x:c>
      <x:c r="B9" t="str">
        <x:v>Flat pry bar</x:v>
      </x:c>
      <x:c r="C9" t="str">
        <x:v>Small trim removal bar</x:v>
      </x:c>
      <x:c r="D9" t="str">
        <x:v>Remove</x:v>
      </x:c>
      <x:c r="E9" t="str">
        <x:v>Whole</x:v>
      </x:c>
      <x:c r="F9" t="n">
        <x:v>1</x:v>
      </x:c>
      <x:c r="G9" t="str">
        <x:v>each</x:v>
      </x:c>
      <x:c r="H9" s="14" t="n">
        <x:v>6</x:v>
      </x:c>
      <x:c r="I9" s="14" t="n">
        <x:v>10</x:v>
      </x:c>
      <x:c r="J9" s="14" t="n">
        <x:v>18</x:v>
      </x:c>
      <x:c r="K9" s="14" t="n">
        <x:f>F9*H9</x:f>
        <x:v>6</x:v>
      </x:c>
      <x:c r="L9" s="14" t="n">
        <x:f>F9*I9</x:f>
        <x:v>10</x:v>
      </x:c>
      <x:c r="M9" s="14" t="n">
        <x:f>F9*J9</x:f>
        <x:v>18</x:v>
      </x:c>
      <x:c r="N9" t="str"/>
      <x:c r="O9" t="str">
        <x:v>Not Bought</x:v>
      </x:c>
      <x:c r="P9" t="str"/>
      <x:c r="Q9" t="str"/>
    </x:row>
    <x:row r="10">
      <x:c r="A10" t="str">
        <x:v>Tools</x:v>
      </x:c>
      <x:c r="B10" t="str">
        <x:v>Rubber mallet</x:v>
      </x:c>
      <x:c r="C10" t="str">
        <x:v>For gentle tapping tests</x:v>
      </x:c>
      <x:c r="D10" t="str">
        <x:v>Remove</x:v>
      </x:c>
      <x:c r="E10" t="str">
        <x:v>Whole</x:v>
      </x:c>
      <x:c r="F10" t="n">
        <x:v>1</x:v>
      </x:c>
      <x:c r="G10" t="str">
        <x:v>each</x:v>
      </x:c>
      <x:c r="H10" s="14" t="n">
        <x:v>5</x:v>
      </x:c>
      <x:c r="I10" s="14" t="n">
        <x:v>8</x:v>
      </x:c>
      <x:c r="J10" s="14" t="n">
        <x:v>12</x:v>
      </x:c>
      <x:c r="K10" s="14" t="n">
        <x:f>F10*H10</x:f>
        <x:v>5</x:v>
      </x:c>
      <x:c r="L10" s="14" t="n">
        <x:f>F10*I10</x:f>
        <x:v>8</x:v>
      </x:c>
      <x:c r="M10" s="14" t="n">
        <x:f>F10*J10</x:f>
        <x:v>12</x:v>
      </x:c>
      <x:c r="N10" t="str"/>
      <x:c r="O10" t="str">
        <x:v>Not Bought</x:v>
      </x:c>
      <x:c r="P10" t="str"/>
      <x:c r="Q10" t="str"/>
    </x:row>
    <x:row r="11">
      <x:c r="A11" t="str">
        <x:v>Tools</x:v>
      </x:c>
      <x:c r="B11" t="str">
        <x:v>Oscillating multitool</x:v>
      </x:c>
      <x:c r="C11" t="str">
        <x:v>Optional; only if glued/fixed parts won't release</x:v>
      </x:c>
      <x:c r="D11" t="str">
        <x:v>Remove</x:v>
      </x:c>
      <x:c r="E11" t="str">
        <x:v>Whole</x:v>
      </x:c>
      <x:c r="F11" t="n">
        <x:v>1</x:v>
      </x:c>
      <x:c r="G11" t="str">
        <x:v>each</x:v>
      </x:c>
      <x:c r="H11" s="14" t="n">
        <x:v>35</x:v>
      </x:c>
      <x:c r="I11" s="14" t="n">
        <x:v>65</x:v>
      </x:c>
      <x:c r="J11" s="14" t="n">
        <x:v>120</x:v>
      </x:c>
      <x:c r="K11" s="14" t="n">
        <x:f>F11*H11</x:f>
        <x:v>35</x:v>
      </x:c>
      <x:c r="L11" s="14" t="n">
        <x:f>F11*I11</x:f>
        <x:v>65</x:v>
      </x:c>
      <x:c r="M11" s="14" t="n">
        <x:f>F11*J11</x:f>
        <x:v>120</x:v>
      </x:c>
      <x:c r="N11" t="str"/>
      <x:c r="O11" t="str">
        <x:v>Not Bought</x:v>
      </x:c>
      <x:c r="P11" t="str"/>
      <x:c r="Q11" t="str"/>
    </x:row>
    <x:row r="12">
      <x:c r="A12" t="str">
        <x:v>Tools</x:v>
      </x:c>
      <x:c r="B12" t="str">
        <x:v>Shop vac / wet dry vacuum</x:v>
      </x:c>
      <x:c r="C12" t="str">
        <x:v>Useful for soot, dust and debris</x:v>
      </x:c>
      <x:c r="D12" t="str">
        <x:v>Expose</x:v>
      </x:c>
      <x:c r="E12" t="str">
        <x:v>Whole</x:v>
      </x:c>
      <x:c r="F12" t="n">
        <x:v>1</x:v>
      </x:c>
      <x:c r="G12" t="str">
        <x:v>each</x:v>
      </x:c>
      <x:c r="H12" s="14" t="n">
        <x:v>40</x:v>
      </x:c>
      <x:c r="I12" s="14" t="n">
        <x:v>70</x:v>
      </x:c>
      <x:c r="J12" s="14" t="n">
        <x:v>120</x:v>
      </x:c>
      <x:c r="K12" s="14" t="n">
        <x:f>F12*H12</x:f>
        <x:v>40</x:v>
      </x:c>
      <x:c r="L12" s="14" t="n">
        <x:f>F12*I12</x:f>
        <x:v>70</x:v>
      </x:c>
      <x:c r="M12" s="14" t="n">
        <x:f>F12*J12</x:f>
        <x:v>120</x:v>
      </x:c>
      <x:c r="N12" t="str"/>
      <x:c r="O12" t="str">
        <x:v>Not Bought</x:v>
      </x:c>
      <x:c r="P12" t="str"/>
      <x:c r="Q12" t="str"/>
    </x:row>
    <x:row r="13">
      <x:c r="A13" t="str">
        <x:v>Timber</x:v>
      </x:c>
      <x:c r="B13" t="str">
        <x:v>CLS timber</x:v>
      </x:c>
      <x:c r="C13" t="str">
        <x:v>38x63mm or 47x70mm depending final depth; Wickes 38x63x2400mm listed at £3.75</x:v>
      </x:c>
      <x:c r="D13" t="str">
        <x:v>Build Frame</x:v>
      </x:c>
      <x:c r="E13" t="str">
        <x:v>Centre</x:v>
      </x:c>
      <x:c r="F13" t="n">
        <x:v>16</x:v>
      </x:c>
      <x:c r="G13" t="str">
        <x:v>length</x:v>
      </x:c>
      <x:c r="H13" s="14" t="n">
        <x:v>3.75</x:v>
      </x:c>
      <x:c r="I13" s="14" t="n">
        <x:v>5</x:v>
      </x:c>
      <x:c r="J13" s="14" t="n">
        <x:v>7</x:v>
      </x:c>
      <x:c r="K13" s="14" t="n">
        <x:f>F13*H13</x:f>
        <x:v>60</x:v>
      </x:c>
      <x:c r="L13" s="14" t="n">
        <x:f>F13*I13</x:f>
        <x:v>80</x:v>
      </x:c>
      <x:c r="M13" s="14" t="n">
        <x:f>F13*J13</x:f>
        <x:v>112</x:v>
      </x:c>
      <x:c r="N13" t="str"/>
      <x:c r="O13" t="str">
        <x:v>Not Bought</x:v>
      </x:c>
      <x:c r="P13" t="str">
        <x:v>https://www.wickes.co.uk/Products/Building-Materials/Timber/Trade-Timber-Supplies/CLS-Studwork-Timber/c/1000201</x:v>
      </x:c>
      <x:c r="Q13" t="str"/>
    </x:row>
    <x:row r="14">
      <x:c r="A14" t="str">
        <x:v>Timber</x:v>
      </x:c>
      <x:c r="B14" t="str">
        <x:v>CLS timber extra</x:v>
      </x:c>
      <x:c r="C14" t="str">
        <x:v>For left/right cabinet supports and mistakes</x:v>
      </x:c>
      <x:c r="D14" t="str">
        <x:v>Build Frame</x:v>
      </x:c>
      <x:c r="E14" t="str">
        <x:v>Left/Right</x:v>
      </x:c>
      <x:c r="F14" t="n">
        <x:v>12</x:v>
      </x:c>
      <x:c r="G14" t="str">
        <x:v>length</x:v>
      </x:c>
      <x:c r="H14" s="14" t="n">
        <x:v>3.75</x:v>
      </x:c>
      <x:c r="I14" s="14" t="n">
        <x:v>5</x:v>
      </x:c>
      <x:c r="J14" s="14" t="n">
        <x:v>7</x:v>
      </x:c>
      <x:c r="K14" s="14" t="n">
        <x:f>F14*H14</x:f>
        <x:v>45</x:v>
      </x:c>
      <x:c r="L14" s="14" t="n">
        <x:f>F14*I14</x:f>
        <x:v>60</x:v>
      </x:c>
      <x:c r="M14" s="14" t="n">
        <x:f>F14*J14</x:f>
        <x:v>84</x:v>
      </x:c>
      <x:c r="N14" t="str"/>
      <x:c r="O14" t="str">
        <x:v>Not Bought</x:v>
      </x:c>
      <x:c r="P14" t="str">
        <x:v>https://www.wickes.co.uk/Products/Building-Materials/Timber/Trade-Timber-Supplies/CLS-Studwork-Timber/c/1000201</x:v>
      </x:c>
      <x:c r="Q14" t="str"/>
    </x:row>
    <x:row r="15">
      <x:c r="A15" t="str">
        <x:v>Sheet material</x:v>
      </x:c>
      <x:c r="B15" t="str">
        <x:v>18mm MDF sheets</x:v>
      </x:c>
      <x:c r="C15" t="str">
        <x:v>For cabinet doors, panels and face; B&amp;Q marketplace pack prices vary</x:v>
      </x:c>
      <x:c r="D15" t="str">
        <x:v>Build/Board</x:v>
      </x:c>
      <x:c r="E15" t="str">
        <x:v>Whole</x:v>
      </x:c>
      <x:c r="F15" t="n">
        <x:v>4</x:v>
      </x:c>
      <x:c r="G15" t="str">
        <x:v>sheet</x:v>
      </x:c>
      <x:c r="H15" s="14" t="n">
        <x:v>35</x:v>
      </x:c>
      <x:c r="I15" s="14" t="n">
        <x:v>55</x:v>
      </x:c>
      <x:c r="J15" s="14" t="n">
        <x:v>80</x:v>
      </x:c>
      <x:c r="K15" s="14" t="n">
        <x:f>F15*H15</x:f>
        <x:v>140</x:v>
      </x:c>
      <x:c r="L15" s="14" t="n">
        <x:f>F15*I15</x:f>
        <x:v>220</x:v>
      </x:c>
      <x:c r="M15" s="14" t="n">
        <x:f>F15*J15</x:f>
        <x:v>320</x:v>
      </x:c>
      <x:c r="N15" t="str"/>
      <x:c r="O15" t="str">
        <x:v>Not Bought</x:v>
      </x:c>
      <x:c r="P15" t="str">
        <x:v>https://www.diy.com/timber-joinery/sheet-wood/mdf.cat</x:v>
      </x:c>
      <x:c r="Q15" t="str"/>
    </x:row>
    <x:row r="16">
      <x:c r="A16" t="str">
        <x:v>Sheet material</x:v>
      </x:c>
      <x:c r="B16" t="str">
        <x:v>12.5mm plasterboard</x:v>
      </x:c>
      <x:c r="C16" t="str">
        <x:v>Standard/fireline as needed near fire; B&amp;Q fireline 2400x1200 listed around £21.20</x:v>
      </x:c>
      <x:c r="D16" t="str">
        <x:v>Board &amp; Finish</x:v>
      </x:c>
      <x:c r="E16" t="str">
        <x:v>Centre</x:v>
      </x:c>
      <x:c r="F16" t="n">
        <x:v>3</x:v>
      </x:c>
      <x:c r="G16" t="str">
        <x:v>sheet</x:v>
      </x:c>
      <x:c r="H16" s="14" t="n">
        <x:v>10</x:v>
      </x:c>
      <x:c r="I16" s="14" t="n">
        <x:v>21.2</x:v>
      </x:c>
      <x:c r="J16" s="14" t="n">
        <x:v>30</x:v>
      </x:c>
      <x:c r="K16" s="14" t="n">
        <x:f>F16*H16</x:f>
        <x:v>30</x:v>
      </x:c>
      <x:c r="L16" s="14" t="n">
        <x:f>F16*I16</x:f>
        <x:v>63.599999999999994</x:v>
      </x:c>
      <x:c r="M16" s="14" t="n">
        <x:f>F16*J16</x:f>
        <x:v>90</x:v>
      </x:c>
      <x:c r="N16" t="str"/>
      <x:c r="O16" t="str">
        <x:v>Not Bought</x:v>
      </x:c>
      <x:c r="P16" t="str">
        <x:v>https://www.diy.com/departments/building-supplies/plastering-supplies/plasterboard/DIY570176.cat?Length+%28mm%29=2400&amp;Thickness+%28mm%29=12.5&amp;Width+%28mm%29=1200</x:v>
      </x:c>
      <x:c r="Q16" t="str"/>
    </x:row>
    <x:row r="17">
      <x:c r="A17" t="str">
        <x:v>Sheet material</x:v>
      </x:c>
      <x:c r="B17" t="str">
        <x:v>Plywood backer</x:v>
      </x:c>
      <x:c r="C17" t="str">
        <x:v>For TV mount zone behind board</x:v>
      </x:c>
      <x:c r="D17" t="str">
        <x:v>Build Frame</x:v>
      </x:c>
      <x:c r="E17" t="str">
        <x:v>Centre</x:v>
      </x:c>
      <x:c r="F17" t="n">
        <x:v>1</x:v>
      </x:c>
      <x:c r="G17" t="str">
        <x:v>sheet</x:v>
      </x:c>
      <x:c r="H17" s="14" t="n">
        <x:v>25</x:v>
      </x:c>
      <x:c r="I17" s="14" t="n">
        <x:v>45</x:v>
      </x:c>
      <x:c r="J17" s="14" t="n">
        <x:v>70</x:v>
      </x:c>
      <x:c r="K17" s="14" t="n">
        <x:f>F17*H17</x:f>
        <x:v>25</x:v>
      </x:c>
      <x:c r="L17" s="14" t="n">
        <x:f>F17*I17</x:f>
        <x:v>45</x:v>
      </x:c>
      <x:c r="M17" s="14" t="n">
        <x:f>F17*J17</x:f>
        <x:v>70</x:v>
      </x:c>
      <x:c r="N17" t="str"/>
      <x:c r="O17" t="str">
        <x:v>Not Bought</x:v>
      </x:c>
      <x:c r="P17" t="str"/>
      <x:c r="Q17" t="str"/>
    </x:row>
    <x:row r="18">
      <x:c r="A18" t="str">
        <x:v>Fixings</x:v>
      </x:c>
      <x:c r="B18" t="str">
        <x:v>Wood screws</x:v>
      </x:c>
      <x:c r="C18" t="str">
        <x:v>5x80/100mm for framing</x:v>
      </x:c>
      <x:c r="D18" t="str">
        <x:v>Build Frame</x:v>
      </x:c>
      <x:c r="E18" t="str">
        <x:v>Whole</x:v>
      </x:c>
      <x:c r="F18" t="n">
        <x:v>1</x:v>
      </x:c>
      <x:c r="G18" t="str">
        <x:v>box</x:v>
      </x:c>
      <x:c r="H18" s="14" t="n">
        <x:v>8</x:v>
      </x:c>
      <x:c r="I18" s="14" t="n">
        <x:v>15</x:v>
      </x:c>
      <x:c r="J18" s="14" t="n">
        <x:v>25</x:v>
      </x:c>
      <x:c r="K18" s="14" t="n">
        <x:f>F18*H18</x:f>
        <x:v>8</x:v>
      </x:c>
      <x:c r="L18" s="14" t="n">
        <x:f>F18*I18</x:f>
        <x:v>15</x:v>
      </x:c>
      <x:c r="M18" s="14" t="n">
        <x:f>F18*J18</x:f>
        <x:v>25</x:v>
      </x:c>
      <x:c r="N18" t="str"/>
      <x:c r="O18" t="str">
        <x:v>Not Bought</x:v>
      </x:c>
      <x:c r="P18" t="str"/>
      <x:c r="Q18" t="str"/>
    </x:row>
    <x:row r="19">
      <x:c r="A19" t="str">
        <x:v>Fixings</x:v>
      </x:c>
      <x:c r="B19" t="str">
        <x:v>Plasterboard screws</x:v>
      </x:c>
      <x:c r="C19" t="str">
        <x:v>25/35mm drywall screws</x:v>
      </x:c>
      <x:c r="D19" t="str">
        <x:v>Board &amp; Finish</x:v>
      </x:c>
      <x:c r="E19" t="str">
        <x:v>Whole</x:v>
      </x:c>
      <x:c r="F19" t="n">
        <x:v>1</x:v>
      </x:c>
      <x:c r="G19" t="str">
        <x:v>box</x:v>
      </x:c>
      <x:c r="H19" s="14" t="n">
        <x:v>6</x:v>
      </x:c>
      <x:c r="I19" s="14" t="n">
        <x:v>10</x:v>
      </x:c>
      <x:c r="J19" s="14" t="n">
        <x:v>16</x:v>
      </x:c>
      <x:c r="K19" s="14" t="n">
        <x:f>F19*H19</x:f>
        <x:v>6</x:v>
      </x:c>
      <x:c r="L19" s="14" t="n">
        <x:f>F19*I19</x:f>
        <x:v>10</x:v>
      </x:c>
      <x:c r="M19" s="14" t="n">
        <x:f>F19*J19</x:f>
        <x:v>16</x:v>
      </x:c>
      <x:c r="N19" t="str"/>
      <x:c r="O19" t="str">
        <x:v>Not Bought</x:v>
      </x:c>
      <x:c r="P19" t="str"/>
      <x:c r="Q19" t="str"/>
    </x:row>
    <x:row r="20">
      <x:c r="A20" t="str">
        <x:v>Fixings</x:v>
      </x:c>
      <x:c r="B20" t="str">
        <x:v>Wall plugs / masonry fixings</x:v>
      </x:c>
      <x:c r="C20" t="str">
        <x:v>For fixing frame into wall/floor where needed</x:v>
      </x:c>
      <x:c r="D20" t="str">
        <x:v>Build Frame</x:v>
      </x:c>
      <x:c r="E20" t="str">
        <x:v>Whole</x:v>
      </x:c>
      <x:c r="F20" t="n">
        <x:v>1</x:v>
      </x:c>
      <x:c r="G20" t="str">
        <x:v>box</x:v>
      </x:c>
      <x:c r="H20" s="14" t="n">
        <x:v>8</x:v>
      </x:c>
      <x:c r="I20" s="14" t="n">
        <x:v>15</x:v>
      </x:c>
      <x:c r="J20" s="14" t="n">
        <x:v>25</x:v>
      </x:c>
      <x:c r="K20" s="14" t="n">
        <x:f>F20*H20</x:f>
        <x:v>8</x:v>
      </x:c>
      <x:c r="L20" s="14" t="n">
        <x:f>F20*I20</x:f>
        <x:v>15</x:v>
      </x:c>
      <x:c r="M20" s="14" t="n">
        <x:f>F20*J20</x:f>
        <x:v>25</x:v>
      </x:c>
      <x:c r="N20" t="str"/>
      <x:c r="O20" t="str">
        <x:v>Not Bought</x:v>
      </x:c>
      <x:c r="P20" t="str"/>
      <x:c r="Q20" t="str"/>
    </x:row>
    <x:row r="21">
      <x:c r="A21" t="str">
        <x:v>Adhesives</x:v>
      </x:c>
      <x:c r="B21" t="str">
        <x:v>Wood glue</x:v>
      </x:c>
      <x:c r="C21" t="str">
        <x:v>For cabinet/shelf work</x:v>
      </x:c>
      <x:c r="D21" t="str">
        <x:v>Build Frame</x:v>
      </x:c>
      <x:c r="E21" t="str">
        <x:v>Whole</x:v>
      </x:c>
      <x:c r="F21" t="n">
        <x:v>1</x:v>
      </x:c>
      <x:c r="G21" t="str">
        <x:v>bottle</x:v>
      </x:c>
      <x:c r="H21" s="14" t="n">
        <x:v>5</x:v>
      </x:c>
      <x:c r="I21" s="14" t="n">
        <x:v>8</x:v>
      </x:c>
      <x:c r="J21" s="14" t="n">
        <x:v>12</x:v>
      </x:c>
      <x:c r="K21" s="14" t="n">
        <x:f>F21*H21</x:f>
        <x:v>5</x:v>
      </x:c>
      <x:c r="L21" s="14" t="n">
        <x:f>F21*I21</x:f>
        <x:v>8</x:v>
      </x:c>
      <x:c r="M21" s="14" t="n">
        <x:f>F21*J21</x:f>
        <x:v>12</x:v>
      </x:c>
      <x:c r="N21" t="str"/>
      <x:c r="O21" t="str">
        <x:v>Not Bought</x:v>
      </x:c>
      <x:c r="P21" t="str"/>
      <x:c r="Q21" t="str"/>
    </x:row>
    <x:row r="22">
      <x:c r="A22" t="str">
        <x:v>Adhesives</x:v>
      </x:c>
      <x:c r="B22" t="str">
        <x:v>Grab adhesive</x:v>
      </x:c>
      <x:c r="C22" t="str">
        <x:v>For panels/trim where appropriate</x:v>
      </x:c>
      <x:c r="D22" t="str">
        <x:v>Board &amp; Finish</x:v>
      </x:c>
      <x:c r="E22" t="str">
        <x:v>Whole</x:v>
      </x:c>
      <x:c r="F22" t="n">
        <x:v>3</x:v>
      </x:c>
      <x:c r="G22" t="str">
        <x:v>tube</x:v>
      </x:c>
      <x:c r="H22" s="14" t="n">
        <x:v>5</x:v>
      </x:c>
      <x:c r="I22" s="14" t="n">
        <x:v>8</x:v>
      </x:c>
      <x:c r="J22" s="14" t="n">
        <x:v>12</x:v>
      </x:c>
      <x:c r="K22" s="14" t="n">
        <x:f>F22*H22</x:f>
        <x:v>15</x:v>
      </x:c>
      <x:c r="L22" s="14" t="n">
        <x:f>F22*I22</x:f>
        <x:v>24</x:v>
      </x:c>
      <x:c r="M22" s="14" t="n">
        <x:f>F22*J22</x:f>
        <x:v>36</x:v>
      </x:c>
      <x:c r="N22" t="str"/>
      <x:c r="O22" t="str">
        <x:v>Not Bought</x:v>
      </x:c>
      <x:c r="P22" t="str"/>
      <x:c r="Q22" t="str"/>
    </x:row>
    <x:row r="23">
      <x:c r="A23" t="str">
        <x:v>Finishing</x:v>
      </x:c>
      <x:c r="B23" t="str">
        <x:v>Joint tape</x:v>
      </x:c>
      <x:c r="C23" t="str">
        <x:v>Paper or scrim tape</x:v>
      </x:c>
      <x:c r="D23" t="str">
        <x:v>Board &amp; Finish</x:v>
      </x:c>
      <x:c r="E23" t="str">
        <x:v>Whole</x:v>
      </x:c>
      <x:c r="F23" t="n">
        <x:v>1</x:v>
      </x:c>
      <x:c r="G23" t="str">
        <x:v>roll</x:v>
      </x:c>
      <x:c r="H23" s="14" t="n">
        <x:v>4</x:v>
      </x:c>
      <x:c r="I23" s="14" t="n">
        <x:v>7</x:v>
      </x:c>
      <x:c r="J23" s="14" t="n">
        <x:v>10</x:v>
      </x:c>
      <x:c r="K23" s="14" t="n">
        <x:f>F23*H23</x:f>
        <x:v>4</x:v>
      </x:c>
      <x:c r="L23" s="14" t="n">
        <x:f>F23*I23</x:f>
        <x:v>7</x:v>
      </x:c>
      <x:c r="M23" s="14" t="n">
        <x:f>F23*J23</x:f>
        <x:v>10</x:v>
      </x:c>
      <x:c r="N23" t="str"/>
      <x:c r="O23" t="str">
        <x:v>Not Bought</x:v>
      </x:c>
      <x:c r="P23" t="str"/>
      <x:c r="Q23" t="str"/>
    </x:row>
    <x:row r="24">
      <x:c r="A24" t="str">
        <x:v>Finishing</x:v>
      </x:c>
      <x:c r="B24" t="str">
        <x:v>Joint compound/filler</x:v>
      </x:c>
      <x:c r="C24" t="str">
        <x:v>Ready mixed or powder filler</x:v>
      </x:c>
      <x:c r="D24" t="str">
        <x:v>Board &amp; Finish</x:v>
      </x:c>
      <x:c r="E24" t="str">
        <x:v>Whole</x:v>
      </x:c>
      <x:c r="F24" t="n">
        <x:v>2</x:v>
      </x:c>
      <x:c r="G24" t="str">
        <x:v>tub</x:v>
      </x:c>
      <x:c r="H24" s="14" t="n">
        <x:v>8</x:v>
      </x:c>
      <x:c r="I24" s="14" t="n">
        <x:v>15</x:v>
      </x:c>
      <x:c r="J24" s="14" t="n">
        <x:v>25</x:v>
      </x:c>
      <x:c r="K24" s="14" t="n">
        <x:f>F24*H24</x:f>
        <x:v>16</x:v>
      </x:c>
      <x:c r="L24" s="14" t="n">
        <x:f>F24*I24</x:f>
        <x:v>30</x:v>
      </x:c>
      <x:c r="M24" s="14" t="n">
        <x:f>F24*J24</x:f>
        <x:v>50</x:v>
      </x:c>
      <x:c r="N24" t="str"/>
      <x:c r="O24" t="str">
        <x:v>Not Bought</x:v>
      </x:c>
      <x:c r="P24" t="str"/>
      <x:c r="Q24" t="str"/>
    </x:row>
    <x:row r="25">
      <x:c r="A25" t="str">
        <x:v>Finishing</x:v>
      </x:c>
      <x:c r="B25" t="str">
        <x:v>Decorator's caulk</x:v>
      </x:c>
      <x:c r="C25" t="str">
        <x:v>For gaps before painting</x:v>
      </x:c>
      <x:c r="D25" t="str">
        <x:v>Board &amp; Finish</x:v>
      </x:c>
      <x:c r="E25" t="str">
        <x:v>Whole</x:v>
      </x:c>
      <x:c r="F25" t="n">
        <x:v>4</x:v>
      </x:c>
      <x:c r="G25" t="str">
        <x:v>tube</x:v>
      </x:c>
      <x:c r="H25" s="14" t="n">
        <x:v>2.5</x:v>
      </x:c>
      <x:c r="I25" s="14" t="n">
        <x:v>4</x:v>
      </x:c>
      <x:c r="J25" s="14" t="n">
        <x:v>7</x:v>
      </x:c>
      <x:c r="K25" s="14" t="n">
        <x:f>F25*H25</x:f>
        <x:v>10</x:v>
      </x:c>
      <x:c r="L25" s="14" t="n">
        <x:f>F25*I25</x:f>
        <x:v>16</x:v>
      </x:c>
      <x:c r="M25" s="14" t="n">
        <x:f>F25*J25</x:f>
        <x:v>28</x:v>
      </x:c>
      <x:c r="N25" t="str"/>
      <x:c r="O25" t="str">
        <x:v>Not Bought</x:v>
      </x:c>
      <x:c r="P25" t="str"/>
      <x:c r="Q25" t="str"/>
    </x:row>
    <x:row r="26">
      <x:c r="A26" t="str">
        <x:v>Finishing</x:v>
      </x:c>
      <x:c r="B26" t="str">
        <x:v>Sandpaper pack</x:v>
      </x:c>
      <x:c r="C26" t="str">
        <x:v>120/180 grit</x:v>
      </x:c>
      <x:c r="D26" t="str">
        <x:v>Board &amp; Finish</x:v>
      </x:c>
      <x:c r="E26" t="str">
        <x:v>Whole</x:v>
      </x:c>
      <x:c r="F26" t="n">
        <x:v>1</x:v>
      </x:c>
      <x:c r="G26" t="str">
        <x:v>pack</x:v>
      </x:c>
      <x:c r="H26" s="14" t="n">
        <x:v>5</x:v>
      </x:c>
      <x:c r="I26" s="14" t="n">
        <x:v>10</x:v>
      </x:c>
      <x:c r="J26" s="14" t="n">
        <x:v>15</x:v>
      </x:c>
      <x:c r="K26" s="14" t="n">
        <x:f>F26*H26</x:f>
        <x:v>5</x:v>
      </x:c>
      <x:c r="L26" s="14" t="n">
        <x:f>F26*I26</x:f>
        <x:v>10</x:v>
      </x:c>
      <x:c r="M26" s="14" t="n">
        <x:f>F26*J26</x:f>
        <x:v>15</x:v>
      </x:c>
      <x:c r="N26" t="str"/>
      <x:c r="O26" t="str">
        <x:v>Not Bought</x:v>
      </x:c>
      <x:c r="P26" t="str"/>
      <x:c r="Q26" t="str"/>
    </x:row>
    <x:row r="27">
      <x:c r="A27" t="str">
        <x:v>Paint</x:v>
      </x:c>
      <x:c r="B27" t="str">
        <x:v>Primer</x:v>
      </x:c>
      <x:c r="C27" t="str">
        <x:v>MDF/plaster primer</x:v>
      </x:c>
      <x:c r="D27" t="str">
        <x:v>Paint</x:v>
      </x:c>
      <x:c r="E27" t="str">
        <x:v>Whole</x:v>
      </x:c>
      <x:c r="F27" t="n">
        <x:v>2.5</x:v>
      </x:c>
      <x:c r="G27" t="str">
        <x:v>litre</x:v>
      </x:c>
      <x:c r="H27" s="14" t="n">
        <x:v>15</x:v>
      </x:c>
      <x:c r="I27" s="14" t="n">
        <x:v>25</x:v>
      </x:c>
      <x:c r="J27" s="14" t="n">
        <x:v>45</x:v>
      </x:c>
      <x:c r="K27" s="14" t="n">
        <x:f>F27*H27</x:f>
        <x:v>37.5</x:v>
      </x:c>
      <x:c r="L27" s="14" t="n">
        <x:f>F27*I27</x:f>
        <x:v>62.5</x:v>
      </x:c>
      <x:c r="M27" s="14" t="n">
        <x:f>F27*J27</x:f>
        <x:v>112.5</x:v>
      </x:c>
      <x:c r="N27" t="str"/>
      <x:c r="O27" t="str">
        <x:v>Not Bought</x:v>
      </x:c>
      <x:c r="P27" t="str"/>
      <x:c r="Q27" t="str"/>
    </x:row>
    <x:row r="28">
      <x:c r="A28" t="str">
        <x:v>Paint</x:v>
      </x:c>
      <x:c r="B28" t="str">
        <x:v>Dark green paint</x:v>
      </x:c>
      <x:c r="C28" t="str">
        <x:v>Bantry/Studio green equivalent; walls/cabinet allowance</x:v>
      </x:c>
      <x:c r="D28" t="str">
        <x:v>Paint</x:v>
      </x:c>
      <x:c r="E28" t="str">
        <x:v>Whole</x:v>
      </x:c>
      <x:c r="F28" t="n">
        <x:v>5</x:v>
      </x:c>
      <x:c r="G28" t="str">
        <x:v>litre</x:v>
      </x:c>
      <x:c r="H28" s="14" t="n">
        <x:v>45</x:v>
      </x:c>
      <x:c r="I28" s="14" t="n">
        <x:v>70</x:v>
      </x:c>
      <x:c r="J28" s="14" t="n">
        <x:v>110</x:v>
      </x:c>
      <x:c r="K28" s="14" t="n">
        <x:f>F28*H28</x:f>
        <x:v>225</x:v>
      </x:c>
      <x:c r="L28" s="14" t="n">
        <x:f>F28*I28</x:f>
        <x:v>350</x:v>
      </x:c>
      <x:c r="M28" s="14" t="n">
        <x:f>F28*J28</x:f>
        <x:v>550</x:v>
      </x:c>
      <x:c r="N28" t="str"/>
      <x:c r="O28" t="str">
        <x:v>Not Bought</x:v>
      </x:c>
      <x:c r="P28" t="str"/>
      <x:c r="Q28" t="str"/>
    </x:row>
    <x:row r="29">
      <x:c r="A29" t="str">
        <x:v>Paint</x:v>
      </x:c>
      <x:c r="B29" t="str">
        <x:v>Black cabinet paint</x:v>
      </x:c>
      <x:c r="C29" t="str">
        <x:v>For sideboard-style lower cupboards</x:v>
      </x:c>
      <x:c r="D29" t="str">
        <x:v>Paint</x:v>
      </x:c>
      <x:c r="E29" t="str">
        <x:v>Left/Right</x:v>
      </x:c>
      <x:c r="F29" t="n">
        <x:v>2.5</x:v>
      </x:c>
      <x:c r="G29" t="str">
        <x:v>litre</x:v>
      </x:c>
      <x:c r="H29" s="14" t="n">
        <x:v>30</x:v>
      </x:c>
      <x:c r="I29" s="14" t="n">
        <x:v>50</x:v>
      </x:c>
      <x:c r="J29" s="14" t="n">
        <x:v>80</x:v>
      </x:c>
      <x:c r="K29" s="14" t="n">
        <x:f>F29*H29</x:f>
        <x:v>75</x:v>
      </x:c>
      <x:c r="L29" s="14" t="n">
        <x:f>F29*I29</x:f>
        <x:v>125</x:v>
      </x:c>
      <x:c r="M29" s="14" t="n">
        <x:f>F29*J29</x:f>
        <x:v>200</x:v>
      </x:c>
      <x:c r="N29" t="str"/>
      <x:c r="O29" t="str">
        <x:v>Not Bought</x:v>
      </x:c>
      <x:c r="P29" t="str"/>
      <x:c r="Q29" t="str"/>
    </x:row>
    <x:row r="30">
      <x:c r="A30" t="str">
        <x:v>Paint</x:v>
      </x:c>
      <x:c r="B30" t="str">
        <x:v>Woodwork/trim paint</x:v>
      </x:c>
      <x:c r="C30" t="str">
        <x:v>Skirting/coving touch-up</x:v>
      </x:c>
      <x:c r="D30" t="str">
        <x:v>Paint</x:v>
      </x:c>
      <x:c r="E30" t="str">
        <x:v>Whole</x:v>
      </x:c>
      <x:c r="F30" t="n">
        <x:v>1</x:v>
      </x:c>
      <x:c r="G30" t="str">
        <x:v>litre</x:v>
      </x:c>
      <x:c r="H30" s="14" t="n">
        <x:v>18</x:v>
      </x:c>
      <x:c r="I30" s="14" t="n">
        <x:v>30</x:v>
      </x:c>
      <x:c r="J30" s="14" t="n">
        <x:v>45</x:v>
      </x:c>
      <x:c r="K30" s="14" t="n">
        <x:f>F30*H30</x:f>
        <x:v>18</x:v>
      </x:c>
      <x:c r="L30" s="14" t="n">
        <x:f>F30*I30</x:f>
        <x:v>30</x:v>
      </x:c>
      <x:c r="M30" s="14" t="n">
        <x:f>F30*J30</x:f>
        <x:v>45</x:v>
      </x:c>
      <x:c r="N30" t="str"/>
      <x:c r="O30" t="str">
        <x:v>Not Bought</x:v>
      </x:c>
      <x:c r="P30" t="str"/>
      <x:c r="Q30" t="str"/>
    </x:row>
    <x:row r="31">
      <x:c r="A31" t="str">
        <x:v>Fire</x:v>
      </x:c>
      <x:c r="B31" t="str">
        <x:v>Linear electric fire</x:v>
      </x:c>
      <x:c r="C31" t="str">
        <x:v>Modern linear electric fire; Screwfix examples range £111 refurbished to £620+</x:v>
      </x:c>
      <x:c r="D31" t="str">
        <x:v>Install</x:v>
      </x:c>
      <x:c r="E31" t="str">
        <x:v>Centre</x:v>
      </x:c>
      <x:c r="F31" t="n">
        <x:v>1</x:v>
      </x:c>
      <x:c r="G31" t="str">
        <x:v>each</x:v>
      </x:c>
      <x:c r="H31" s="14" t="n">
        <x:v>180</x:v>
      </x:c>
      <x:c r="I31" s="14" t="n">
        <x:v>350</x:v>
      </x:c>
      <x:c r="J31" s="14" t="n">
        <x:v>700</x:v>
      </x:c>
      <x:c r="K31" s="14" t="n">
        <x:f>F31*H31</x:f>
        <x:v>180</x:v>
      </x:c>
      <x:c r="L31" s="14" t="n">
        <x:f>F31*I31</x:f>
        <x:v>350</x:v>
      </x:c>
      <x:c r="M31" s="14" t="n">
        <x:f>F31*J31</x:f>
        <x:v>700</x:v>
      </x:c>
      <x:c r="N31" t="str"/>
      <x:c r="O31" t="str">
        <x:v>Not Bought</x:v>
      </x:c>
      <x:c r="P31" t="str">
        <x:v>https://www.screwfix.com/c/heating-plumbing/fireplaces/cat830972?fueltype=electric</x:v>
      </x:c>
      <x:c r="Q31" t="str"/>
    </x:row>
    <x:row r="32">
      <x:c r="A32" t="str">
        <x:v>Electrical</x:v>
      </x:c>
      <x:c r="B32" t="str">
        <x:v>LED strip kit</x:v>
      </x:c>
      <x:c r="C32" t="str">
        <x:v>3000K warm white strips for shelves/plinth/TV recess</x:v>
      </x:c>
      <x:c r="D32" t="str">
        <x:v>Lighting</x:v>
      </x:c>
      <x:c r="E32" t="str">
        <x:v>Whole</x:v>
      </x:c>
      <x:c r="F32" t="n">
        <x:v>3</x:v>
      </x:c>
      <x:c r="G32" t="str">
        <x:v>kit</x:v>
      </x:c>
      <x:c r="H32" s="14" t="n">
        <x:v>20</x:v>
      </x:c>
      <x:c r="I32" s="14" t="n">
        <x:v>35</x:v>
      </x:c>
      <x:c r="J32" s="14" t="n">
        <x:v>65</x:v>
      </x:c>
      <x:c r="K32" s="14" t="n">
        <x:f>F32*H32</x:f>
        <x:v>60</x:v>
      </x:c>
      <x:c r="L32" s="14" t="n">
        <x:f>F32*I32</x:f>
        <x:v>105</x:v>
      </x:c>
      <x:c r="M32" s="14" t="n">
        <x:f>F32*J32</x:f>
        <x:v>195</x:v>
      </x:c>
      <x:c r="N32" t="str"/>
      <x:c r="O32" t="str">
        <x:v>Not Bought</x:v>
      </x:c>
      <x:c r="P32" t="str"/>
      <x:c r="Q32" t="str"/>
    </x:row>
    <x:row r="33">
      <x:c r="A33" t="str">
        <x:v>Electrical</x:v>
      </x:c>
      <x:c r="B33" t="str">
        <x:v>LED drivers/controllers</x:v>
      </x:c>
      <x:c r="C33" t="str">
        <x:v>If strips not supplied with drivers</x:v>
      </x:c>
      <x:c r="D33" t="str">
        <x:v>Lighting</x:v>
      </x:c>
      <x:c r="E33" t="str">
        <x:v>Whole</x:v>
      </x:c>
      <x:c r="F33" t="n">
        <x:v>2</x:v>
      </x:c>
      <x:c r="G33" t="str">
        <x:v>each</x:v>
      </x:c>
      <x:c r="H33" s="14" t="n">
        <x:v>12</x:v>
      </x:c>
      <x:c r="I33" s="14" t="n">
        <x:v>25</x:v>
      </x:c>
      <x:c r="J33" s="14" t="n">
        <x:v>50</x:v>
      </x:c>
      <x:c r="K33" s="14" t="n">
        <x:f>F33*H33</x:f>
        <x:v>24</x:v>
      </x:c>
      <x:c r="L33" s="14" t="n">
        <x:f>F33*I33</x:f>
        <x:v>50</x:v>
      </x:c>
      <x:c r="M33" s="14" t="n">
        <x:f>F33*J33</x:f>
        <x:v>100</x:v>
      </x:c>
      <x:c r="N33" t="str"/>
      <x:c r="O33" t="str">
        <x:v>Not Bought</x:v>
      </x:c>
      <x:c r="P33" t="str"/>
      <x:c r="Q33" t="str"/>
    </x:row>
    <x:row r="34">
      <x:c r="A34" t="str">
        <x:v>Electrical</x:v>
      </x:c>
      <x:c r="B34" t="str">
        <x:v>Wall lights/sconces</x:v>
      </x:c>
      <x:c r="C34" t="str">
        <x:v>Optional lights either side of centre TV zone</x:v>
      </x:c>
      <x:c r="D34" t="str">
        <x:v>Lighting</x:v>
      </x:c>
      <x:c r="E34" t="str">
        <x:v>Centre</x:v>
      </x:c>
      <x:c r="F34" t="n">
        <x:v>2</x:v>
      </x:c>
      <x:c r="G34" t="str">
        <x:v>each</x:v>
      </x:c>
      <x:c r="H34" s="14" t="n">
        <x:v>25</x:v>
      </x:c>
      <x:c r="I34" s="14" t="n">
        <x:v>50</x:v>
      </x:c>
      <x:c r="J34" s="14" t="n">
        <x:v>120</x:v>
      </x:c>
      <x:c r="K34" s="14" t="n">
        <x:f>F34*H34</x:f>
        <x:v>50</x:v>
      </x:c>
      <x:c r="L34" s="14" t="n">
        <x:f>F34*I34</x:f>
        <x:v>100</x:v>
      </x:c>
      <x:c r="M34" s="14" t="n">
        <x:f>F34*J34</x:f>
        <x:v>240</x:v>
      </x:c>
      <x:c r="N34" t="str"/>
      <x:c r="O34" t="str">
        <x:v>Not Bought</x:v>
      </x:c>
      <x:c r="P34" t="str"/>
      <x:c r="Q34" t="str"/>
    </x:row>
    <x:row r="35">
      <x:c r="A35" t="str">
        <x:v>Electrical</x:v>
      </x:c>
      <x:c r="B35" t="str">
        <x:v>Cable clips/trunking</x:v>
      </x:c>
      <x:c r="C35" t="str">
        <x:v>Temporary/hidden cable management</x:v>
      </x:c>
      <x:c r="D35" t="str">
        <x:v>Lighting</x:v>
      </x:c>
      <x:c r="E35" t="str">
        <x:v>Whole</x:v>
      </x:c>
      <x:c r="F35" t="n">
        <x:v>1</x:v>
      </x:c>
      <x:c r="G35" t="str">
        <x:v>pack</x:v>
      </x:c>
      <x:c r="H35" s="14" t="n">
        <x:v>5</x:v>
      </x:c>
      <x:c r="I35" s="14" t="n">
        <x:v>10</x:v>
      </x:c>
      <x:c r="J35" s="14" t="n">
        <x:v>20</x:v>
      </x:c>
      <x:c r="K35" s="14" t="n">
        <x:f>F35*H35</x:f>
        <x:v>5</x:v>
      </x:c>
      <x:c r="L35" s="14" t="n">
        <x:f>F35*I35</x:f>
        <x:v>10</x:v>
      </x:c>
      <x:c r="M35" s="14" t="n">
        <x:f>F35*J35</x:f>
        <x:v>20</x:v>
      </x:c>
      <x:c r="N35" t="str"/>
      <x:c r="O35" t="str">
        <x:v>Not Bought</x:v>
      </x:c>
      <x:c r="P35" t="str"/>
      <x:c r="Q35" t="str"/>
    </x:row>
    <x:row r="36">
      <x:c r="A36" t="str">
        <x:v>Cabinetry</x:v>
      </x:c>
      <x:c r="B36" t="str">
        <x:v>Cabinet hinges/push latches</x:v>
      </x:c>
      <x:c r="C36" t="str">
        <x:v>For lower cupboards</x:v>
      </x:c>
      <x:c r="D36" t="str">
        <x:v>Cabinet</x:v>
      </x:c>
      <x:c r="E36" t="str">
        <x:v>Left/Right</x:v>
      </x:c>
      <x:c r="F36" t="n">
        <x:v>4</x:v>
      </x:c>
      <x:c r="G36" t="str">
        <x:v>set</x:v>
      </x:c>
      <x:c r="H36" s="14" t="n">
        <x:v>5</x:v>
      </x:c>
      <x:c r="I36" s="14" t="n">
        <x:v>10</x:v>
      </x:c>
      <x:c r="J36" s="14" t="n">
        <x:v>20</x:v>
      </x:c>
      <x:c r="K36" s="14" t="n">
        <x:f>F36*H36</x:f>
        <x:v>20</x:v>
      </x:c>
      <x:c r="L36" s="14" t="n">
        <x:f>F36*I36</x:f>
        <x:v>40</x:v>
      </x:c>
      <x:c r="M36" s="14" t="n">
        <x:f>F36*J36</x:f>
        <x:v>80</x:v>
      </x:c>
      <x:c r="N36" t="str"/>
      <x:c r="O36" t="str">
        <x:v>Not Bought</x:v>
      </x:c>
      <x:c r="P36" t="str"/>
      <x:c r="Q36" t="str"/>
    </x:row>
    <x:row r="37">
      <x:c r="A37" t="str">
        <x:v>Cabinetry</x:v>
      </x:c>
      <x:c r="B37" t="str">
        <x:v>Gold/brass handles</x:v>
      </x:c>
      <x:c r="C37" t="str">
        <x:v>To match black sideboard direction</x:v>
      </x:c>
      <x:c r="D37" t="str">
        <x:v>Cabinet</x:v>
      </x:c>
      <x:c r="E37" t="str">
        <x:v>Left/Right</x:v>
      </x:c>
      <x:c r="F37" t="n">
        <x:v>4</x:v>
      </x:c>
      <x:c r="G37" t="str">
        <x:v>each</x:v>
      </x:c>
      <x:c r="H37" s="14" t="n">
        <x:v>6</x:v>
      </x:c>
      <x:c r="I37" s="14" t="n">
        <x:v>12</x:v>
      </x:c>
      <x:c r="J37" s="14" t="n">
        <x:v>25</x:v>
      </x:c>
      <x:c r="K37" s="14" t="n">
        <x:f>F37*H37</x:f>
        <x:v>24</x:v>
      </x:c>
      <x:c r="L37" s="14" t="n">
        <x:f>F37*I37</x:f>
        <x:v>48</x:v>
      </x:c>
      <x:c r="M37" s="14" t="n">
        <x:f>F37*J37</x:f>
        <x:v>100</x:v>
      </x:c>
      <x:c r="N37" t="str"/>
      <x:c r="O37" t="str">
        <x:v>Not Bought</x:v>
      </x:c>
      <x:c r="P37" t="str"/>
      <x:c r="Q37" t="str"/>
    </x:row>
    <x:row r="38">
      <x:c r="A38" t="str">
        <x:v>Cabinetry</x:v>
      </x:c>
      <x:c r="B38" t="str">
        <x:v>Oak shelves</x:v>
      </x:c>
      <x:c r="C38" t="str">
        <x:v>Solid oak or oak-effect boards; left/right modules</x:v>
      </x:c>
      <x:c r="D38" t="str">
        <x:v>Shelves</x:v>
      </x:c>
      <x:c r="E38" t="str">
        <x:v>Left/Right</x:v>
      </x:c>
      <x:c r="F38" t="n">
        <x:v>6</x:v>
      </x:c>
      <x:c r="G38" t="str">
        <x:v>shelf</x:v>
      </x:c>
      <x:c r="H38" s="14" t="n">
        <x:v>25</x:v>
      </x:c>
      <x:c r="I38" s="14" t="n">
        <x:v>45</x:v>
      </x:c>
      <x:c r="J38" s="14" t="n">
        <x:v>90</x:v>
      </x:c>
      <x:c r="K38" s="14" t="n">
        <x:f>F38*H38</x:f>
        <x:v>150</x:v>
      </x:c>
      <x:c r="L38" s="14" t="n">
        <x:f>F38*I38</x:f>
        <x:v>270</x:v>
      </x:c>
      <x:c r="M38" s="14" t="n">
        <x:f>F38*J38</x:f>
        <x:v>540</x:v>
      </x:c>
      <x:c r="N38" t="str"/>
      <x:c r="O38" t="str">
        <x:v>Not Bought</x:v>
      </x:c>
      <x:c r="P38" t="str"/>
      <x:c r="Q38" t="str"/>
    </x:row>
    <x:row r="39">
      <x:c r="A39" t="str">
        <x:v>Cabinetry</x:v>
      </x:c>
      <x:c r="B39" t="str">
        <x:v>Shelf supports/battens</x:v>
      </x:c>
      <x:c r="C39" t="str">
        <x:v>Concealed or visible shelf support</x:v>
      </x:c>
      <x:c r="D39" t="str">
        <x:v>Shelves</x:v>
      </x:c>
      <x:c r="E39" t="str">
        <x:v>Left/Right</x:v>
      </x:c>
      <x:c r="F39" t="n">
        <x:v>6</x:v>
      </x:c>
      <x:c r="G39" t="str">
        <x:v>set</x:v>
      </x:c>
      <x:c r="H39" s="14" t="n">
        <x:v>5</x:v>
      </x:c>
      <x:c r="I39" s="14" t="n">
        <x:v>12</x:v>
      </x:c>
      <x:c r="J39" s="14" t="n">
        <x:v>25</x:v>
      </x:c>
      <x:c r="K39" s="14" t="n">
        <x:f>F39*H39</x:f>
        <x:v>30</x:v>
      </x:c>
      <x:c r="L39" s="14" t="n">
        <x:f>F39*I39</x:f>
        <x:v>72</x:v>
      </x:c>
      <x:c r="M39" s="14" t="n">
        <x:f>F39*J39</x:f>
        <x:v>150</x:v>
      </x:c>
      <x:c r="N39" t="str"/>
      <x:c r="O39" t="str">
        <x:v>Not Bought</x:v>
      </x:c>
      <x:c r="P39" t="str"/>
      <x:c r="Q39" t="str"/>
    </x:row>
    <x:row r="40">
      <x:c r="A40" t="str">
        <x:v>Cabinetry</x:v>
      </x:c>
      <x:c r="B40" t="str">
        <x:v>Black reeded/fluted door panels</x:v>
      </x:c>
      <x:c r="C40" t="str">
        <x:v>Could be DIY reeded MDF or pre-made fluted panels</x:v>
      </x:c>
      <x:c r="D40" t="str">
        <x:v>Cabinet</x:v>
      </x:c>
      <x:c r="E40" t="str">
        <x:v>Left/Right</x:v>
      </x:c>
      <x:c r="F40" t="n">
        <x:v>4</x:v>
      </x:c>
      <x:c r="G40" t="str">
        <x:v>door</x:v>
      </x:c>
      <x:c r="H40" s="14" t="n">
        <x:v>30</x:v>
      </x:c>
      <x:c r="I40" s="14" t="n">
        <x:v>70</x:v>
      </x:c>
      <x:c r="J40" s="14" t="n">
        <x:v>140</x:v>
      </x:c>
      <x:c r="K40" s="14" t="n">
        <x:f>F40*H40</x:f>
        <x:v>120</x:v>
      </x:c>
      <x:c r="L40" s="14" t="n">
        <x:f>F40*I40</x:f>
        <x:v>280</x:v>
      </x:c>
      <x:c r="M40" s="14" t="n">
        <x:f>F40*J40</x:f>
        <x:v>560</x:v>
      </x:c>
      <x:c r="N40" t="str"/>
      <x:c r="O40" t="str">
        <x:v>Not Bought</x:v>
      </x:c>
      <x:c r="P40" t="str"/>
      <x:c r="Q40" t="str"/>
    </x:row>
    <x:row r="41">
      <x:c r="A41" t="str">
        <x:v>Hire/Tools</x:v>
      </x:c>
      <x:c r="B41" t="str">
        <x:v>Mitre saw hire/buy allowance</x:v>
      </x:c>
      <x:c r="C41" t="str">
        <x:v>Optional if not already owned</x:v>
      </x:c>
      <x:c r="D41" t="str">
        <x:v>Tools</x:v>
      </x:c>
      <x:c r="E41" t="str">
        <x:v>Whole</x:v>
      </x:c>
      <x:c r="F41" t="n">
        <x:v>1</x:v>
      </x:c>
      <x:c r="G41" t="str">
        <x:v>allowance</x:v>
      </x:c>
      <x:c r="H41" s="14" t="n">
        <x:v>0</x:v>
      </x:c>
      <x:c r="I41" s="14" t="n">
        <x:v>40</x:v>
      </x:c>
      <x:c r="J41" s="14" t="n">
        <x:v>120</x:v>
      </x:c>
      <x:c r="K41" s="14" t="n">
        <x:f>F41*H41</x:f>
        <x:v>0</x:v>
      </x:c>
      <x:c r="L41" s="14" t="n">
        <x:f>F41*I41</x:f>
        <x:v>40</x:v>
      </x:c>
      <x:c r="M41" s="14" t="n">
        <x:f>F41*J41</x:f>
        <x:v>120</x:v>
      </x:c>
      <x:c r="N41" t="str"/>
      <x:c r="O41" t="str">
        <x:v>Not Bought</x:v>
      </x:c>
      <x:c r="P41" t="str"/>
      <x:c r="Q41" t="str"/>
    </x:row>
    <x:row r="42">
      <x:c r="A42" t="str">
        <x:v>Hire/Tools</x:v>
      </x:c>
      <x:c r="B42" t="str">
        <x:v>Circular saw/track guide allowance</x:v>
      </x:c>
      <x:c r="C42" t="str">
        <x:v>Optional; many boards can be cut in store</x:v>
      </x:c>
      <x:c r="D42" t="str">
        <x:v>Tools</x:v>
      </x:c>
      <x:c r="E42" t="str">
        <x:v>Whole</x:v>
      </x:c>
      <x:c r="F42" t="n">
        <x:v>1</x:v>
      </x:c>
      <x:c r="G42" t="str">
        <x:v>allowance</x:v>
      </x:c>
      <x:c r="H42" s="14" t="n">
        <x:v>0</x:v>
      </x:c>
      <x:c r="I42" s="14" t="n">
        <x:v>50</x:v>
      </x:c>
      <x:c r="J42" s="14" t="n">
        <x:v>160</x:v>
      </x:c>
      <x:c r="K42" s="14" t="n">
        <x:f>F42*H42</x:f>
        <x:v>0</x:v>
      </x:c>
      <x:c r="L42" s="14" t="n">
        <x:f>F42*I42</x:f>
        <x:v>50</x:v>
      </x:c>
      <x:c r="M42" s="14" t="n">
        <x:f>F42*J42</x:f>
        <x:v>160</x:v>
      </x:c>
      <x:c r="N42" t="str"/>
      <x:c r="O42" t="str">
        <x:v>Not Bought</x:v>
      </x:c>
      <x:c r="P42" t="str"/>
      <x:c r="Q42" t="str"/>
    </x:row>
    <x:row r="43">
      <x:c r="A43" t="str">
        <x:v>Waste</x:v>
      </x:c>
      <x:c r="B43" t="str">
        <x:v>Tip runs / disposal</x:v>
      </x:c>
      <x:c r="C43" t="str">
        <x:v>Fuel or council collection allowance</x:v>
      </x:c>
      <x:c r="D43" t="str">
        <x:v>Remove</x:v>
      </x:c>
      <x:c r="E43" t="str">
        <x:v>Whole</x:v>
      </x:c>
      <x:c r="F43" t="n">
        <x:v>1</x:v>
      </x:c>
      <x:c r="G43" t="str">
        <x:v>allowance</x:v>
      </x:c>
      <x:c r="H43" s="14" t="n">
        <x:v>0</x:v>
      </x:c>
      <x:c r="I43" s="14" t="n">
        <x:v>40</x:v>
      </x:c>
      <x:c r="J43" s="14" t="n">
        <x:v>120</x:v>
      </x:c>
      <x:c r="K43" s="14" t="n">
        <x:f>F43*H43</x:f>
        <x:v>0</x:v>
      </x:c>
      <x:c r="L43" s="14" t="n">
        <x:f>F43*I43</x:f>
        <x:v>40</x:v>
      </x:c>
      <x:c r="M43" s="14" t="n">
        <x:f>F43*J43</x:f>
        <x:v>120</x:v>
      </x:c>
      <x:c r="N43" t="str"/>
      <x:c r="O43" t="str">
        <x:v>Not Bought</x:v>
      </x:c>
      <x:c r="P43" t="str"/>
      <x:c r="Q43" t="str"/>
    </x:row>
  </x:sheetData>
  <x:conditionalFormatting sqref="O2:O43">
    <x:cfRule type="expression" dxfId="3" priority="1">
      <x:formula>O2="Bought"</x:formula>
    </x:cfRule>
    <x:cfRule type="expression" dxfId="4" priority="2">
      <x:formula>O2="Ordered"</x:formula>
    </x:cfRule>
  </x:conditionalFormatting>
  <x:dataValidations count="1">
    <x:dataValidation type="list" sqref="O2:O43">
      <x:formula1>"Not Bought,Ordered,Bought,Not Needed"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c8e799410943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18" hidden="0" customWidth="1"/>
    <x:col min="4" max="4" width="18" hidden="0" customWidth="1"/>
    <x:col min="5" max="5" width="14" hidden="0" customWidth="1"/>
    <x:col min="6" max="6" width="30" hidden="0" customWidth="1"/>
    <x:col min="7" max="7" width="22" hidden="0" customWidth="1"/>
    <x:col min="8" max="8" width="10" hidden="0" customWidth="1"/>
    <x:col min="9" max="9" width="15" hidden="0" customWidth="1"/>
    <x:col min="10" max="10" width="42" hidden="0" customWidth="1"/>
    <x:col min="11" max="11" width="26" hidden="0" customWidth="1"/>
  </x:cols>
  <x:sheetData>
    <x:row r="1" ht="28" customHeight="1">
      <x:c r="A1" s="6" t="str">
        <x:v>Sequence</x:v>
      </x:c>
      <x:c r="B1" s="6" t="str">
        <x:v>Month</x:v>
      </x:c>
      <x:c r="C1" s="6" t="str">
        <x:v>Weekend/Day</x:v>
      </x:c>
      <x:c r="D1" s="6" t="str">
        <x:v>Phase</x:v>
      </x:c>
      <x:c r="E1" s="6" t="str">
        <x:v>Module</x:v>
      </x:c>
      <x:c r="F1" s="6" t="str">
        <x:v>Work Package</x:v>
      </x:c>
      <x:c r="G1" s="6" t="str">
        <x:v>Prerequisite</x:v>
      </x:c>
      <x:c r="H1" s="6" t="str">
        <x:v>Estimated Hours</x:v>
      </x:c>
      <x:c r="I1" s="6" t="str">
        <x:v>Cash Needed Target £</x:v>
      </x:c>
      <x:c r="J1" s="6" t="str">
        <x:v>Output / Definition of Done</x:v>
      </x:c>
      <x:c r="K1" s="6" t="str">
        <x:v>Decision Gate</x:v>
      </x:c>
      <x:c r="L1" s="6"/>
      <x:c r="M1" s="6"/>
      <x:c r="N1" s="6"/>
      <x:c r="O1" s="6"/>
      <x:c r="P1" s="6"/>
      <x:c r="Q1" s="6"/>
    </x:row>
    <x:row r="2">
      <x:c r="A2" t="n">
        <x:v>1</x:v>
      </x:c>
      <x:c r="B2" t="str">
        <x:v>Month 1</x:v>
      </x:c>
      <x:c r="C2" t="str">
        <x:v>Evening 1</x:v>
      </x:c>
      <x:c r="D2" t="str">
        <x:v>0 Survey</x:v>
      </x:c>
      <x:c r="E2" t="str">
        <x:v>Whole</x:v>
      </x:c>
      <x:c r="F2" t="str">
        <x:v>Label photos + measurements</x:v>
      </x:c>
      <x:c r="G2" t="str">
        <x:v>None</x:v>
      </x:c>
      <x:c r="H2" t="n">
        <x:v>2</x:v>
      </x:c>
      <x:c r="I2" t="n">
        <x:v>0</x:v>
      </x:c>
      <x:c r="J2" t="str">
        <x:v>Full photo/measurement record created</x:v>
      </x:c>
      <x:c r="K2" t="str">
        <x:v>Are hidden issues visible?</x:v>
      </x:c>
    </x:row>
    <x:row r="3">
      <x:c r="A3" t="n">
        <x:v>2</x:v>
      </x:c>
      <x:c r="B3" t="str">
        <x:v>Month 1</x:v>
      </x:c>
      <x:c r="C3" t="str">
        <x:v>Evening 2</x:v>
      </x:c>
      <x:c r="D3" t="str">
        <x:v>0 Survey</x:v>
      </x:c>
      <x:c r="E3" t="str">
        <x:v>Whole</x:v>
      </x:c>
      <x:c r="F3" t="str">
        <x:v>Choose target style + fire shortlist</x:v>
      </x:c>
      <x:c r="G3" t="str">
        <x:v>Measurements</x:v>
      </x:c>
      <x:c r="H3" t="n">
        <x:v>2</x:v>
      </x:c>
      <x:c r="I3" t="n">
        <x:v>0</x:v>
      </x:c>
      <x:c r="J3" t="str">
        <x:v>Fire dimensions shortlisted</x:v>
      </x:c>
      <x:c r="K3" t="str">
        <x:v>Fire model chosen before opening cut</x:v>
      </x:c>
    </x:row>
    <x:row r="4">
      <x:c r="A4" t="n">
        <x:v>3</x:v>
      </x:c>
      <x:c r="B4" t="str">
        <x:v>Month 1</x:v>
      </x:c>
      <x:c r="C4" t="str">
        <x:v>Weekend 1 Sat</x:v>
      </x:c>
      <x:c r="D4" t="str">
        <x:v>1 Remove</x:v>
      </x:c>
      <x:c r="E4" t="str">
        <x:v>Whole</x:v>
      </x:c>
      <x:c r="F4" t="str">
        <x:v>Protect room + remove TV/soundbar/fire</x:v>
      </x:c>
      <x:c r="G4" t="str">
        <x:v>Power off / helper</x:v>
      </x:c>
      <x:c r="H4" t="n">
        <x:v>5</x:v>
      </x:c>
      <x:c r="I4" t="n">
        <x:v>50</x:v>
      </x:c>
      <x:c r="J4" t="str">
        <x:v>Centre cleared, fire removed, photos taken</x:v>
      </x:c>
      <x:c r="K4" t="str">
        <x:v>Anything electrical unsafe?</x:v>
      </x:c>
    </x:row>
    <x:row r="5">
      <x:c r="A5" t="n">
        <x:v>4</x:v>
      </x:c>
      <x:c r="B5" t="str">
        <x:v>Month 1</x:v>
      </x:c>
      <x:c r="C5" t="str">
        <x:v>Weekend 1 Sun</x:v>
      </x:c>
      <x:c r="D5" t="str">
        <x:v>1 Remove</x:v>
      </x:c>
      <x:c r="E5" t="str">
        <x:v>Left/Right</x:v>
      </x:c>
      <x:c r="F5" t="str">
        <x:v>Remove corbels, mouldings, shelves</x:v>
      </x:c>
      <x:c r="G5" t="str">
        <x:v>Score/test first</x:v>
      </x:c>
      <x:c r="H5" t="n">
        <x:v>5</x:v>
      </x:c>
      <x:c r="I5" t="n">
        <x:v>30</x:v>
      </x:c>
      <x:c r="J5" t="str">
        <x:v>Side modules stripped safely</x:v>
      </x:c>
      <x:c r="K5" t="str">
        <x:v>Are walls damaged beyond filler?</x:v>
      </x:c>
    </x:row>
    <x:row r="6">
      <x:c r="A6" t="n">
        <x:v>5</x:v>
      </x:c>
      <x:c r="B6" t="str">
        <x:v>Month 1</x:v>
      </x:c>
      <x:c r="C6" t="str">
        <x:v>Weekend 2 Sat</x:v>
      </x:c>
      <x:c r="D6" t="str">
        <x:v>2 Expose</x:v>
      </x:c>
      <x:c r="E6" t="str">
        <x:v>Centre</x:v>
      </x:c>
      <x:c r="F6" t="str">
        <x:v>Expose chimney opening and clean</x:v>
      </x:c>
      <x:c r="G6" t="str">
        <x:v>Remove complete</x:v>
      </x:c>
      <x:c r="H6" t="n">
        <x:v>4</x:v>
      </x:c>
      <x:c r="I6" t="n">
        <x:v>20</x:v>
      </x:c>
      <x:c r="J6" t="str">
        <x:v>Chimney recess visible and measured</x:v>
      </x:c>
      <x:c r="K6" t="str">
        <x:v>Can we build in front cleanly?</x:v>
      </x:c>
    </x:row>
    <x:row r="7">
      <x:c r="A7" t="n">
        <x:v>6</x:v>
      </x:c>
      <x:c r="B7" t="str">
        <x:v>Month 1</x:v>
      </x:c>
      <x:c r="C7" t="str">
        <x:v>Weekend 2 Sun</x:v>
      </x:c>
      <x:c r="D7" t="str">
        <x:v>2 Expose</x:v>
      </x:c>
      <x:c r="E7" t="str">
        <x:v>Left/Right</x:v>
      </x:c>
      <x:c r="F7" t="str">
        <x:v>Expose alcove surfaces + inspect bases</x:v>
      </x:c>
      <x:c r="G7" t="str">
        <x:v>Remove complete</x:v>
      </x:c>
      <x:c r="H7" t="n">
        <x:v>4</x:v>
      </x:c>
      <x:c r="I7" t="n">
        <x:v>20</x:v>
      </x:c>
      <x:c r="J7" t="str">
        <x:v>Left/right module condition known</x:v>
      </x:c>
      <x:c r="K7" t="str">
        <x:v>Reuse or rebuild bases?</x:v>
      </x:c>
    </x:row>
    <x:row r="8">
      <x:c r="A8" t="n">
        <x:v>7</x:v>
      </x:c>
      <x:c r="B8" t="str">
        <x:v>Month 2</x:v>
      </x:c>
      <x:c r="C8" t="str">
        <x:v>Weekend 3 Sat</x:v>
      </x:c>
      <x:c r="D8" t="str">
        <x:v>3 Build Frame</x:v>
      </x:c>
      <x:c r="E8" t="str">
        <x:v>Centre</x:v>
      </x:c>
      <x:c r="F8" t="str">
        <x:v>Buy timber + build centre frame</x:v>
      </x:c>
      <x:c r="G8" t="str">
        <x:v>Measurements + fire chosen</x:v>
      </x:c>
      <x:c r="H8" t="n">
        <x:v>8</x:v>
      </x:c>
      <x:c r="I8" t="n">
        <x:v>150</x:v>
      </x:c>
      <x:c r="J8" t="str">
        <x:v>Centre frame solid, square, level</x:v>
      </x:c>
      <x:c r="K8" t="str">
        <x:v>Boarding can start</x:v>
      </x:c>
    </x:row>
    <x:row r="9">
      <x:c r="A9" t="n">
        <x:v>8</x:v>
      </x:c>
      <x:c r="B9" t="str">
        <x:v>Month 2</x:v>
      </x:c>
      <x:c r="C9" t="str">
        <x:v>Weekend 3 Sun</x:v>
      </x:c>
      <x:c r="D9" t="str">
        <x:v>3 Build Frame</x:v>
      </x:c>
      <x:c r="E9" t="str">
        <x:v>Centre</x:v>
      </x:c>
      <x:c r="F9" t="str">
        <x:v>Add TV support + cable voids</x:v>
      </x:c>
      <x:c r="G9" t="str">
        <x:v>Frame started</x:v>
      </x:c>
      <x:c r="H9" t="n">
        <x:v>4</x:v>
      </x:c>
      <x:c r="I9" t="n">
        <x:v>60</x:v>
      </x:c>
      <x:c r="J9" t="str">
        <x:v>TV fixing zone and cable routes ready</x:v>
      </x:c>
      <x:c r="K9" t="str">
        <x:v>Need electrician?</x:v>
      </x:c>
    </x:row>
    <x:row r="10">
      <x:c r="A10" t="n">
        <x:v>9</x:v>
      </x:c>
      <x:c r="B10" t="str">
        <x:v>Month 2</x:v>
      </x:c>
      <x:c r="C10" t="str">
        <x:v>Weekend 4 Sat</x:v>
      </x:c>
      <x:c r="D10" t="str">
        <x:v>3 Build Frame</x:v>
      </x:c>
      <x:c r="E10" t="str">
        <x:v>Left</x:v>
      </x:c>
      <x:c r="F10" t="str">
        <x:v>Build/modify left cabinet base</x:v>
      </x:c>
      <x:c r="G10" t="str">
        <x:v>Left measurements</x:v>
      </x:c>
      <x:c r="H10" t="n">
        <x:v>6</x:v>
      </x:c>
      <x:c r="I10" t="n">
        <x:v>180</x:v>
      </x:c>
      <x:c r="J10" t="str">
        <x:v>Left base/cabinet frame ready</x:v>
      </x:c>
      <x:c r="K10" t="str">
        <x:v>Door style confirmed</x:v>
      </x:c>
    </x:row>
    <x:row r="11">
      <x:c r="A11" t="n">
        <x:v>10</x:v>
      </x:c>
      <x:c r="B11" t="str">
        <x:v>Month 2</x:v>
      </x:c>
      <x:c r="C11" t="str">
        <x:v>Weekend 4 Sun</x:v>
      </x:c>
      <x:c r="D11" t="str">
        <x:v>3 Build Frame</x:v>
      </x:c>
      <x:c r="E11" t="str">
        <x:v>Right</x:v>
      </x:c>
      <x:c r="F11" t="str">
        <x:v>Build/modify right cabinet base</x:v>
      </x:c>
      <x:c r="G11" t="str">
        <x:v>Right measurements</x:v>
      </x:c>
      <x:c r="H11" t="n">
        <x:v>6</x:v>
      </x:c>
      <x:c r="I11" t="n">
        <x:v>180</x:v>
      </x:c>
      <x:c r="J11" t="str">
        <x:v>Right base/cabinet frame ready</x:v>
      </x:c>
      <x:c r="K11" t="str">
        <x:v>Symmetry checked</x:v>
      </x:c>
    </x:row>
    <x:row r="12">
      <x:c r="A12" t="n">
        <x:v>11</x:v>
      </x:c>
      <x:c r="B12" t="str">
        <x:v>Month 2</x:v>
      </x:c>
      <x:c r="C12" t="str">
        <x:v>Weekend 5 Sat</x:v>
      </x:c>
      <x:c r="D12" t="str">
        <x:v>4 Board &amp; Finish</x:v>
      </x:c>
      <x:c r="E12" t="str">
        <x:v>Centre</x:v>
      </x:c>
      <x:c r="F12" t="str">
        <x:v>Board centre frame</x:v>
      </x:c>
      <x:c r="G12" t="str">
        <x:v>Frame complete</x:v>
      </x:c>
      <x:c r="H12" t="n">
        <x:v>6</x:v>
      </x:c>
      <x:c r="I12" t="n">
        <x:v>100</x:v>
      </x:c>
      <x:c r="J12" t="str">
        <x:v>Boarded centre face</x:v>
      </x:c>
      <x:c r="K12" t="str">
        <x:v>Opening exact?</x:v>
      </x:c>
    </x:row>
    <x:row r="13">
      <x:c r="A13" t="n">
        <x:v>12</x:v>
      </x:c>
      <x:c r="B13" t="str">
        <x:v>Month 2</x:v>
      </x:c>
      <x:c r="C13" t="str">
        <x:v>Weekend 5 Sun</x:v>
      </x:c>
      <x:c r="D13" t="str">
        <x:v>4 Board &amp; Finish</x:v>
      </x:c>
      <x:c r="E13" t="str">
        <x:v>Whole</x:v>
      </x:c>
      <x:c r="F13" t="str">
        <x:v>Tape/fill/sand first pass</x:v>
      </x:c>
      <x:c r="G13" t="str">
        <x:v>Boarding complete</x:v>
      </x:c>
      <x:c r="H13" t="n">
        <x:v>6</x:v>
      </x:c>
      <x:c r="I13" t="n">
        <x:v>70</x:v>
      </x:c>
      <x:c r="J13" t="str">
        <x:v>First coat filler drying</x:v>
      </x:c>
      <x:c r="K13" t="str">
        <x:v>Do not rush drying</x:v>
      </x:c>
    </x:row>
    <x:row r="14">
      <x:c r="A14" t="n">
        <x:v>13</x:v>
      </x:c>
      <x:c r="B14" t="str">
        <x:v>Month 3</x:v>
      </x:c>
      <x:c r="C14" t="str">
        <x:v>Weekend 6 Sat</x:v>
      </x:c>
      <x:c r="D14" t="str">
        <x:v>5 Cut Opening</x:v>
      </x:c>
      <x:c r="E14" t="str">
        <x:v>Centre</x:v>
      </x:c>
      <x:c r="F14" t="str">
        <x:v>Cut/test fire opening</x:v>
      </x:c>
      <x:c r="G14" t="str">
        <x:v>Fire model purchased</x:v>
      </x:c>
      <x:c r="H14" t="n">
        <x:v>4</x:v>
      </x:c>
      <x:c r="I14" t="n">
        <x:v>350</x:v>
      </x:c>
      <x:c r="J14" t="str">
        <x:v>Fire dry-fits cleanly</x:v>
      </x:c>
      <x:c r="K14" t="str">
        <x:v>Opening final before paint</x:v>
      </x:c>
    </x:row>
    <x:row r="15">
      <x:c r="A15" t="n">
        <x:v>14</x:v>
      </x:c>
      <x:c r="B15" t="str">
        <x:v>Month 3</x:v>
      </x:c>
      <x:c r="C15" t="str">
        <x:v>Weekend 6 Sun</x:v>
      </x:c>
      <x:c r="D15" t="str">
        <x:v>6 Install Fire &amp; Finish</x:v>
      </x:c>
      <x:c r="E15" t="str">
        <x:v>Whole</x:v>
      </x:c>
      <x:c r="F15" t="str">
        <x:v>Prime/paint first coat</x:v>
      </x:c>
      <x:c r="G15" t="str">
        <x:v>Sanding complete</x:v>
      </x:c>
      <x:c r="H15" t="n">
        <x:v>6</x:v>
      </x:c>
      <x:c r="I15" t="n">
        <x:v>150</x:v>
      </x:c>
      <x:c r="J15" t="str">
        <x:v>First paint coat on</x:v>
      </x:c>
      <x:c r="K15" t="str">
        <x:v>Colour confirmed</x:v>
      </x:c>
    </x:row>
    <x:row r="16">
      <x:c r="A16" t="n">
        <x:v>15</x:v>
      </x:c>
      <x:c r="B16" t="str">
        <x:v>Month 3</x:v>
      </x:c>
      <x:c r="C16" t="str">
        <x:v>Weekend 7 Sat</x:v>
      </x:c>
      <x:c r="D16" t="str">
        <x:v>6 Install Fire &amp; Finish</x:v>
      </x:c>
      <x:c r="E16" t="str">
        <x:v>Left/Right</x:v>
      </x:c>
      <x:c r="F16" t="str">
        <x:v>Install shelves and doors</x:v>
      </x:c>
      <x:c r="G16" t="str">
        <x:v>Paint cured</x:v>
      </x:c>
      <x:c r="H16" t="n">
        <x:v>8</x:v>
      </x:c>
      <x:c r="I16" t="n">
        <x:v>360</x:v>
      </x:c>
      <x:c r="J16" t="str">
        <x:v>Side modules installed</x:v>
      </x:c>
      <x:c r="K16" t="str">
        <x:v>Lighting ready?</x:v>
      </x:c>
    </x:row>
    <x:row r="17">
      <x:c r="A17" t="n">
        <x:v>16</x:v>
      </x:c>
      <x:c r="B17" t="str">
        <x:v>Month 3</x:v>
      </x:c>
      <x:c r="C17" t="str">
        <x:v>Weekend 7 Sun</x:v>
      </x:c>
      <x:c r="D17" t="str">
        <x:v>6 Install Fire &amp; Finish</x:v>
      </x:c>
      <x:c r="E17" t="str">
        <x:v>Whole</x:v>
      </x:c>
      <x:c r="F17" t="str">
        <x:v>Install fire, TV, lights, styling</x:v>
      </x:c>
      <x:c r="G17" t="str">
        <x:v>Paint cured + safe power</x:v>
      </x:c>
      <x:c r="H17" t="n">
        <x:v>8</x:v>
      </x:c>
      <x:c r="I17" t="n">
        <x:v>350</x:v>
      </x:c>
      <x:c r="J17" t="str">
        <x:v>Wall F functional and styled</x:v>
      </x:c>
      <x:c r="K17" t="str">
        <x:v>Final snag list</x:v>
      </x:c>
    </x:row>
    <x:row r="18">
      <x:c r="A18" t="n">
        <x:v>17</x:v>
      </x:c>
      <x:c r="B18" t="str">
        <x:v>Month 3</x:v>
      </x:c>
      <x:c r="C18" t="str">
        <x:v>Evening</x:v>
      </x:c>
      <x:c r="D18" t="str">
        <x:v>Snagging</x:v>
      </x:c>
      <x:c r="E18" t="str">
        <x:v>Whole</x:v>
      </x:c>
      <x:c r="F18" t="str">
        <x:v>Touch-ups + caulk + cable tidy</x:v>
      </x:c>
      <x:c r="G18" t="str">
        <x:v>Install complete</x:v>
      </x:c>
      <x:c r="H18" t="n">
        <x:v>3</x:v>
      </x:c>
      <x:c r="I18" t="n">
        <x:v>50</x:v>
      </x:c>
      <x:c r="J18" t="str">
        <x:v>Ready for daily use</x:v>
      </x:c>
      <x:c r="K18" t="str">
        <x:v>Take final photos</x:v>
      </x:c>
    </x:row>
  </x:sheetData>
  <x:pageMargins left="0.7" right="0.7" top="0.75" bottom="0.75" header="0.3" footer="0.3"/>
  <x:tableParts count="1">
    <x:tablePart xmlns:r="http://schemas.openxmlformats.org/officeDocument/2006/relationships" r:id="R31fc21b631ef429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18" hidden="0" customWidth="1"/>
    <x:col min="5" max="5" width="40" hidden="0" customWidth="1"/>
    <x:col min="6" max="6" width="28" hidden="0" customWidth="1"/>
  </x:cols>
  <x:sheetData>
    <x:row r="1" ht="28" customHeight="1">
      <x:c r="A1" s="6" t="str">
        <x:v>Scenario</x:v>
      </x:c>
      <x:c r="B1" s="6" t="str">
        <x:v>Description</x:v>
      </x:c>
      <x:c r="C1" s="6" t="str">
        <x:v>Must Have</x:v>
      </x:c>
      <x:c r="D1" s="6" t="str">
        <x:v>Estimated Cost £</x:v>
      </x:c>
      <x:c r="E1" s="6" t="str">
        <x:v>What Changes</x:v>
      </x:c>
      <x:c r="F1" s="6" t="str">
        <x:v>Risk</x:v>
      </x:c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t="str">
        <x:v>Lean DIY</x:v>
      </x:c>
      <x:c r="B2" t="str">
        <x:v>Do structure, paint, basic fire, reuse more materials</x:v>
      </x:c>
      <x:c r="C2" t="str">
        <x:v>Centre media wall functional + safer cables</x:v>
      </x:c>
      <x:c r="D2" s="14" t="n">
        <x:f>SUM('Shopping List'!K2:K100)</x:f>
        <x:v>1534.5</x:v>
      </x:c>
      <x:c r="E2" t="str">
        <x:v>Basic fire, fewer LEDs, reuse side bases, cheaper shelves</x:v>
      </x:c>
      <x:c r="F2" t="str">
        <x:v>May not feel fully finished</x:v>
      </x:c>
    </x:row>
    <x:row r="3">
      <x:c r="A3" t="str">
        <x:v>Target / Balanced</x:v>
      </x:c>
      <x:c r="B3" t="str">
        <x:v>Good finish without going premium</x:v>
      </x:c>
      <x:c r="C3" t="str">
        <x:v>Centre + left/right cabinets + lighting + fire</x:v>
      </x:c>
      <x:c r="D3" s="14" t="n">
        <x:f>SUM('Shopping List'!L2:L100)</x:f>
        <x:v>2877.1</x:v>
      </x:c>
      <x:c r="E3" t="str">
        <x:v>Best cost/visual balance</x:v>
      </x:c>
      <x:c r="F3" t="str">
        <x:v>Requires tight sequencing</x:v>
      </x:c>
    </x:row>
    <x:row r="4">
      <x:c r="A4" t="str">
        <x:v>Premium DIY</x:v>
      </x:c>
      <x:c r="B4" t="str">
        <x:v>Better fire, solid oak, better lighting, more polished cabinetry</x:v>
      </x:c>
      <x:c r="C4" t="str">
        <x:v>Full design language across Wall F</x:v>
      </x:c>
      <x:c r="D4" s="14" t="n">
        <x:f>SUM('Shopping List'!M2:M100)</x:f>
        <x:v>5332.5</x:v>
      </x:c>
      <x:c r="E4" t="str">
        <x:v>Premium fire, better oak, upgraded lighting</x:v>
      </x:c>
      <x:c r="F4" t="str">
        <x:v>Higher cashflow load</x:v>
      </x:c>
    </x:row>
    <x:row r="5">
      <x:c r="A5" t="str">
        <x:v>Month 1 starter</x:v>
      </x:c>
      <x:c r="B5" t="str">
        <x:v>Survey, removal, expose, buy core tools and protection</x:v>
      </x:c>
      <x:c r="C5" t="str">
        <x:v>Safe clean blank canvas</x:v>
      </x:c>
      <x:c r="D5" s="14" t="n">
        <x:f>SUMIF('Shopping List'!D:D,"Remove",'Shopping List'!L:L)+SUMIF('Shopping List'!D:D,"Expose",'Shopping List'!L:L)</x:f>
        <x:v>291</x:v>
      </x:c>
      <x:c r="E5" t="str">
        <x:v>No expensive fire/cabinet purchases yet</x:v>
      </x:c>
      <x:c r="F5" t="str">
        <x:v>Room looks worse before better</x:v>
      </x:c>
    </x:row>
    <x:row r="6">
      <x:c r="A6" t="str">
        <x:v>Month 2 build core</x:v>
      </x:c>
      <x:c r="B6" t="str">
        <x:v>Frame centre, board, choose fire</x:v>
      </x:c>
      <x:c r="C6" t="str">
        <x:v>Media wall takes shape</x:v>
      </x:c>
      <x:c r="D6" s="14" t="n">
        <x:f>SUMIF('Shopping List'!D:D,"Build Frame",'Shopping List'!L:L)+SUMIF('Shopping List'!D:D,"Board &amp; Finish",'Shopping List'!L:L)</x:f>
        <x:v>383.6</x:v>
      </x:c>
      <x:c r="E6" t="str">
        <x:v>Major structural progress</x:v>
      </x:c>
      <x:c r="F6" t="str">
        <x:v>Need accurate measurements</x:v>
      </x:c>
    </x:row>
    <x:row r="7">
      <x:c r="A7" t="str">
        <x:v>Month 3 finish</x:v>
      </x:c>
      <x:c r="B7" t="str">
        <x:v>Fire, paint, lights, shelves, cabinets</x:v>
      </x:c>
      <x:c r="C7" t="str">
        <x:v>Final look begins to appear</x:v>
      </x:c>
      <x:c r="D7" s="14" t="n">
        <x:f>SUMIF('Shopping List'!D:D,"Install",'Shopping List'!L:L)+SUMIF('Shopping List'!D:D,"Paint",'Shopping List'!L:L)+SUMIF('Shopping List'!D:D,"Lighting",'Shopping List'!L:L)+SUMIF('Shopping List'!D:D,"Shelves",'Shopping List'!L:L)+SUMIF('Shopping List'!D:D,"Cabinet",'Shopping List'!L:L)</x:f>
        <x:v>1892.5</x:v>
      </x:c>
      <x:c r="E7" t="str">
        <x:v>Finish and styling</x:v>
      </x:c>
      <x:c r="F7" t="str">
        <x:v>Most visible spend lands here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42" hidden="0" customWidth="1"/>
    <x:col min="5" max="5" width="32" hidden="0" customWidth="1"/>
    <x:col min="6" max="6" width="12" hidden="0" customWidth="1"/>
    <x:col min="7" max="7" width="28" hidden="0" customWidth="1"/>
  </x:cols>
  <x:sheetData>
    <x:row r="1" ht="28" customHeight="1">
      <x:c r="A1" s="6" t="str">
        <x:v>Area</x:v>
      </x:c>
      <x:c r="B1" s="6" t="str">
        <x:v>Measurement</x:v>
      </x:c>
      <x:c r="C1" s="6" t="str">
        <x:v>Value mm</x:v>
      </x:c>
      <x:c r="D1" s="6" t="str">
        <x:v>How to Measure</x:v>
      </x:c>
      <x:c r="E1" s="6" t="str">
        <x:v>Why It Matters</x:v>
      </x:c>
      <x:c r="F1" s="6" t="str">
        <x:v>Confirmed?</x:v>
      </x:c>
      <x:c r="G1" s="6" t="str">
        <x:v>Notes</x:v>
      </x:c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t="str">
        <x:v>Whole Wall F</x:v>
      </x:c>
      <x:c r="B2" t="str">
        <x:v>Overall wall width</x:v>
      </x:c>
      <x:c r="C2" t="str"/>
      <x:c r="D2" t="str">
        <x:v>Measure from far left edge to far right edge at top/middle/bottom</x:v>
      </x:c>
      <x:c r="E2" t="str">
        <x:v>Sets total design width</x:v>
      </x:c>
      <x:c r="F2" t="str">
        <x:v>No</x:v>
      </x:c>
      <x:c r="G2" t="str"/>
    </x:row>
    <x:row r="3">
      <x:c r="A3" t="str">
        <x:v>Whole Wall F</x:v>
      </x:c>
      <x:c r="B3" t="str">
        <x:v>Overall wall height</x:v>
      </x:c>
      <x:c r="C3" t="str"/>
      <x:c r="D3" t="str">
        <x:v>Floor to ceiling/coving underside</x:v>
      </x:c>
      <x:c r="E3" t="str">
        <x:v>Sets max elevation height</x:v>
      </x:c>
      <x:c r="F3" t="str">
        <x:v>No</x:v>
      </x:c>
      <x:c r="G3" t="str"/>
    </x:row>
    <x:row r="4">
      <x:c r="A4" t="str">
        <x:v>Centre</x:v>
      </x:c>
      <x:c r="B4" t="str">
        <x:v>Current chimney breast width</x:v>
      </x:c>
      <x:c r="C4" t="str"/>
      <x:c r="D4" t="str">
        <x:v>Outer left to outer right of centre structure</x:v>
      </x:c>
      <x:c r="E4" t="str">
        <x:v>TV/fire centring</x:v>
      </x:c>
      <x:c r="F4" t="str">
        <x:v>No</x:v>
      </x:c>
      <x:c r="G4" t="str"/>
    </x:row>
    <x:row r="5">
      <x:c r="A5" t="str">
        <x:v>Centre</x:v>
      </x:c>
      <x:c r="B5" t="str">
        <x:v>Current chimney breast depth</x:v>
      </x:c>
      <x:c r="C5" t="str"/>
      <x:c r="D5" t="str">
        <x:v>Front face to back wall / side return</x:v>
      </x:c>
      <x:c r="E5" t="str">
        <x:v>Frame depth and cable void</x:v>
      </x:c>
      <x:c r="F5" t="str">
        <x:v>No</x:v>
      </x:c>
      <x:c r="G5" t="str"/>
    </x:row>
    <x:row r="6">
      <x:c r="A6" t="str">
        <x:v>Centre</x:v>
      </x:c>
      <x:c r="B6" t="str">
        <x:v>Actual chimney opening width</x:v>
      </x:c>
      <x:c r="C6" t="str"/>
      <x:c r="D6" t="str">
        <x:v>Inside left masonry to inside right masonry</x:v>
      </x:c>
      <x:c r="E6" t="str">
        <x:v>Fire size constraints</x:v>
      </x:c>
      <x:c r="F6" t="str">
        <x:v>No</x:v>
      </x:c>
      <x:c r="G6" t="str"/>
    </x:row>
    <x:row r="7">
      <x:c r="A7" t="str">
        <x:v>Centre</x:v>
      </x:c>
      <x:c r="B7" t="str">
        <x:v>Actual chimney opening height</x:v>
      </x:c>
      <x:c r="C7" t="str"/>
      <x:c r="D7" t="str">
        <x:v>Base to underside/lintel/top</x:v>
      </x:c>
      <x:c r="E7" t="str">
        <x:v>Fire placement and clearance</x:v>
      </x:c>
      <x:c r="F7" t="str">
        <x:v>No</x:v>
      </x:c>
      <x:c r="G7" t="str"/>
    </x:row>
    <x:row r="8">
      <x:c r="A8" t="str">
        <x:v>Centre</x:v>
      </x:c>
      <x:c r="B8" t="str">
        <x:v>Actual chimney opening depth</x:v>
      </x:c>
      <x:c r="C8" t="str"/>
      <x:c r="D8" t="str">
        <x:v>Front to back of recess</x:v>
      </x:c>
      <x:c r="E8" t="str">
        <x:v>Fire depth and ventilation</x:v>
      </x:c>
      <x:c r="F8" t="str">
        <x:v>No</x:v>
      </x:c>
      <x:c r="G8" t="str"/>
    </x:row>
    <x:row r="9">
      <x:c r="A9" t="str">
        <x:v>Centre</x:v>
      </x:c>
      <x:c r="B9" t="str">
        <x:v>TV width/height</x:v>
      </x:c>
      <x:c r="C9" t="str"/>
      <x:c r="D9" t="str">
        <x:v>Measure actual TV body, not diagonal</x:v>
      </x:c>
      <x:c r="E9" t="str">
        <x:v>Slat panel size and bracket zone</x:v>
      </x:c>
      <x:c r="F9" t="str">
        <x:v>No</x:v>
      </x:c>
      <x:c r="G9" t="str"/>
    </x:row>
    <x:row r="10">
      <x:c r="A10" t="str">
        <x:v>Centre</x:v>
      </x:c>
      <x:c r="B10" t="str">
        <x:v>TV centre height from floor</x:v>
      </x:c>
      <x:c r="C10" t="str"/>
      <x:c r="D10" t="str">
        <x:v>Floor to middle of TV</x:v>
      </x:c>
      <x:c r="E10" t="str">
        <x:v>Viewing height</x:v>
      </x:c>
      <x:c r="F10" t="str">
        <x:v>No</x:v>
      </x:c>
      <x:c r="G10" t="str"/>
    </x:row>
    <x:row r="11">
      <x:c r="A11" t="str">
        <x:v>Left</x:v>
      </x:c>
      <x:c r="B11" t="str">
        <x:v>Left alcove width</x:v>
      </x:c>
      <x:c r="C11" t="str"/>
      <x:c r="D11" t="str">
        <x:v>Inside left to centre structure</x:v>
      </x:c>
      <x:c r="E11" t="str">
        <x:v>Cabinet/shelf width</x:v>
      </x:c>
      <x:c r="F11" t="str">
        <x:v>No</x:v>
      </x:c>
      <x:c r="G11" t="str"/>
    </x:row>
    <x:row r="12">
      <x:c r="A12" t="str">
        <x:v>Left</x:v>
      </x:c>
      <x:c r="B12" t="str">
        <x:v>Left alcove depth</x:v>
      </x:c>
      <x:c r="C12" t="str"/>
      <x:c r="D12" t="str">
        <x:v>Back wall to front shelf/face</x:v>
      </x:c>
      <x:c r="E12" t="str">
        <x:v>Shelf/cabinet depth</x:v>
      </x:c>
      <x:c r="F12" t="str">
        <x:v>No</x:v>
      </x:c>
      <x:c r="G12" t="str"/>
    </x:row>
    <x:row r="13">
      <x:c r="A13" t="str">
        <x:v>Left</x:v>
      </x:c>
      <x:c r="B13" t="str">
        <x:v>Left lower plinth height</x:v>
      </x:c>
      <x:c r="C13" t="str"/>
      <x:c r="D13" t="str">
        <x:v>Floor to top of base</x:v>
      </x:c>
      <x:c r="E13" t="str">
        <x:v>Cabinet alignment</x:v>
      </x:c>
      <x:c r="F13" t="str">
        <x:v>No</x:v>
      </x:c>
      <x:c r="G13" t="str"/>
    </x:row>
    <x:row r="14">
      <x:c r="A14" t="str">
        <x:v>Right</x:v>
      </x:c>
      <x:c r="B14" t="str">
        <x:v>Right alcove width</x:v>
      </x:c>
      <x:c r="C14" t="str"/>
      <x:c r="D14" t="str">
        <x:v>Inside centre structure to right edge</x:v>
      </x:c>
      <x:c r="E14" t="str">
        <x:v>Cabinet/shelf width</x:v>
      </x:c>
      <x:c r="F14" t="str">
        <x:v>No</x:v>
      </x:c>
      <x:c r="G14" t="str"/>
    </x:row>
    <x:row r="15">
      <x:c r="A15" t="str">
        <x:v>Right</x:v>
      </x:c>
      <x:c r="B15" t="str">
        <x:v>Right alcove depth</x:v>
      </x:c>
      <x:c r="C15" t="str"/>
      <x:c r="D15" t="str">
        <x:v>Back wall to front shelf/face</x:v>
      </x:c>
      <x:c r="E15" t="str">
        <x:v>Shelf/cabinet depth</x:v>
      </x:c>
      <x:c r="F15" t="str">
        <x:v>No</x:v>
      </x:c>
      <x:c r="G15" t="str"/>
    </x:row>
    <x:row r="16">
      <x:c r="A16" t="str">
        <x:v>Right</x:v>
      </x:c>
      <x:c r="B16" t="str">
        <x:v>Right lower plinth height</x:v>
      </x:c>
      <x:c r="C16" t="str"/>
      <x:c r="D16" t="str">
        <x:v>Floor to top of base</x:v>
      </x:c>
      <x:c r="E16" t="str">
        <x:v>Cabinet alignment</x:v>
      </x:c>
      <x:c r="F16" t="str">
        <x:v>No</x:v>
      </x:c>
      <x:c r="G16" t="str"/>
    </x:row>
    <x:row r="17">
      <x:c r="A17" t="str">
        <x:v>Lighting</x:v>
      </x:c>
      <x:c r="B17" t="str">
        <x:v>Nearest socket location</x:v>
      </x:c>
      <x:c r="C17" t="str"/>
      <x:c r="D17" t="str">
        <x:v>Distance from socket to planned cable void</x:v>
      </x:c>
      <x:c r="E17" t="str">
        <x:v>Cable routing</x:v>
      </x:c>
      <x:c r="F17" t="str">
        <x:v>No</x:v>
      </x:c>
      <x:c r="G17" t="str"/>
    </x:row>
    <x:row r="18">
      <x:c r="A18" t="str">
        <x:v>Lighting</x:v>
      </x:c>
      <x:c r="B18" t="str">
        <x:v>Sconce height target</x:v>
      </x:c>
      <x:c r="C18" t="str"/>
      <x:c r="D18" t="str">
        <x:v>Floor to centre of wall light</x:v>
      </x:c>
      <x:c r="E18" t="str">
        <x:v>Visual alignment</x:v>
      </x:c>
      <x:c r="F18" t="str">
        <x:v>No</x:v>
      </x:c>
      <x:c r="G18" t="str"/>
    </x:row>
  </x:sheetData>
  <x:dataValidations count="1">
    <x:dataValidation type="list" sqref="F2:F18">
      <x:formula1>"No,Yes,Check Again"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c489dfb230416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12" hidden="0" customWidth="1"/>
    <x:col min="5" max="5" width="34" hidden="0" customWidth="1"/>
    <x:col min="6" max="6" width="44" hidden="0" customWidth="1"/>
    <x:col min="7" max="7" width="12" hidden="0" customWidth="1"/>
    <x:col min="8" max="8" width="12" hidden="0" customWidth="1"/>
  </x:cols>
  <x:sheetData>
    <x:row r="1" ht="28" customHeight="1">
      <x:c r="A1" s="6" t="str">
        <x:v>Risk ID</x:v>
      </x:c>
      <x:c r="B1" s="6" t="str">
        <x:v>Risk</x:v>
      </x:c>
      <x:c r="C1" s="6" t="str">
        <x:v>Likelihood</x:v>
      </x:c>
      <x:c r="D1" s="6" t="str">
        <x:v>Impact</x:v>
      </x:c>
      <x:c r="E1" s="6" t="str">
        <x:v>Early Warning</x:v>
      </x:c>
      <x:c r="F1" s="6" t="str">
        <x:v>Mitigation</x:v>
      </x:c>
      <x:c r="G1" s="6" t="str">
        <x:v>Owner</x:v>
      </x:c>
      <x:c r="H1" s="6" t="str">
        <x:v>Status</x:v>
      </x:c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t="str">
        <x:v>R001</x:v>
      </x:c>
      <x:c r="B2" t="str">
        <x:v>Decorative corbel breaks violently / damages wall</x:v>
      </x:c>
      <x:c r="C2" t="str">
        <x:v>Medium</x:v>
      </x:c>
      <x:c r="D2" t="str">
        <x:v>Medium</x:v>
      </x:c>
      <x:c r="E2" t="str">
        <x:v>Corbel feels solid or won't move</x:v>
      </x:c>
      <x:c r="F2" t="str">
        <x:v>Score paint, inspect screws, pry slowly, use filler/board to repair</x:v>
      </x:c>
      <x:c r="G2" t="str">
        <x:v>Bolaji</x:v>
      </x:c>
      <x:c r="H2" t="str">
        <x:v>Open</x:v>
      </x:c>
    </x:row>
    <x:row r="3">
      <x:c r="A3" t="str">
        <x:v>R002</x:v>
      </x:c>
      <x:c r="B3" t="str">
        <x:v>Hidden electrical cable behind TV/fire</x:v>
      </x:c>
      <x:c r="C3" t="str">
        <x:v>Medium</x:v>
      </x:c>
      <x:c r="D3" t="str">
        <x:v>High</x:v>
      </x:c>
      <x:c r="E3" t="str">
        <x:v>Unexpected cable appears during strip-out</x:v>
      </x:c>
      <x:c r="F3" t="str">
        <x:v>Power off, photograph, do not cut, call electrician if unsure</x:v>
      </x:c>
      <x:c r="G3" t="str">
        <x:v>Bolaji</x:v>
      </x:c>
      <x:c r="H3" t="str">
        <x:v>Open</x:v>
      </x:c>
    </x:row>
    <x:row r="4">
      <x:c r="A4" t="str">
        <x:v>R003</x:v>
      </x:c>
      <x:c r="B4" t="str">
        <x:v>Original chimney opening smaller than desired fire</x:v>
      </x:c>
      <x:c r="C4" t="str">
        <x:v>Medium</x:v>
      </x:c>
      <x:c r="D4" t="str">
        <x:v>High</x:v>
      </x:c>
      <x:c r="E4" t="str">
        <x:v>Opening narrower/shallower than fire spec</x:v>
      </x:c>
      <x:c r="F4" t="str">
        <x:v>Choose smaller fire or build fire in front with correct ventilation</x:v>
      </x:c>
      <x:c r="G4" t="str">
        <x:v>Bolaji</x:v>
      </x:c>
      <x:c r="H4" t="str">
        <x:v>Open</x:v>
      </x:c>
    </x:row>
    <x:row r="5">
      <x:c r="A5" t="str">
        <x:v>R004</x:v>
      </x:c>
      <x:c r="B5" t="str">
        <x:v>Frame not square / boards look wonky</x:v>
      </x:c>
      <x:c r="C5" t="str">
        <x:v>Medium</x:v>
      </x:c>
      <x:c r="D5" t="str">
        <x:v>High</x:v>
      </x:c>
      <x:c r="E5" t="str">
        <x:v>Measurements differ diagonally</x:v>
      </x:c>
      <x:c r="F5" t="str">
        <x:v>Use laser/spirit level, check diagonals before boarding</x:v>
      </x:c>
      <x:c r="G5" t="str">
        <x:v>Bolaji</x:v>
      </x:c>
      <x:c r="H5" t="str">
        <x:v>Open</x:v>
      </x:c>
    </x:row>
    <x:row r="6">
      <x:c r="A6" t="str">
        <x:v>R005</x:v>
      </x:c>
      <x:c r="B6" t="str">
        <x:v>Paint finish shows imperfections</x:v>
      </x:c>
      <x:c r="C6" t="str">
        <x:v>High</x:v>
      </x:c>
      <x:c r="D6" t="str">
        <x:v>Medium</x:v>
      </x:c>
      <x:c r="E6" t="str">
        <x:v>Filler ridges visible in side light</x:v>
      </x:c>
      <x:c r="F6" t="str">
        <x:v>Use thin coats, sand properly, inspect under bright light</x:v>
      </x:c>
      <x:c r="G6" t="str">
        <x:v>Bolaji</x:v>
      </x:c>
      <x:c r="H6" t="str">
        <x:v>Open</x:v>
      </x:c>
    </x:row>
    <x:row r="7">
      <x:c r="A7" t="str">
        <x:v>R006</x:v>
      </x:c>
      <x:c r="B7" t="str">
        <x:v>Costs creep through premium finishes</x:v>
      </x:c>
      <x:c r="C7" t="str">
        <x:v>High</x:v>
      </x:c>
      <x:c r="D7" t="str">
        <x:v>Medium</x:v>
      </x:c>
      <x:c r="E7" t="str">
        <x:v>Adding shelves/lights/tools mid-build</x:v>
      </x:c>
      <x:c r="F7" t="str">
        <x:v>Use staged buying and lock 'must-have vs later' list</x:v>
      </x:c>
      <x:c r="G7" t="str">
        <x:v>Bolaji</x:v>
      </x:c>
      <x:c r="H7" t="str">
        <x:v>Open</x:v>
      </x:c>
    </x:row>
    <x:row r="8">
      <x:c r="A8" t="str">
        <x:v>R007</x:v>
      </x:c>
      <x:c r="B8" t="str">
        <x:v>Room becomes unusable for too long</x:v>
      </x:c>
      <x:c r="C8" t="str">
        <x:v>Medium</x:v>
      </x:c>
      <x:c r="D8" t="str">
        <x:v>Medium</x:v>
      </x:c>
      <x:c r="E8" t="str">
        <x:v>Multiple half-finished modules at once</x:v>
      </x:c>
      <x:c r="F8" t="str">
        <x:v>Finish centre first; treat sides as separate mini-projects</x:v>
      </x:c>
      <x:c r="G8" t="str">
        <x:v>Bolaji</x:v>
      </x:c>
      <x:c r="H8" t="str">
        <x:v>Open</x:v>
      </x:c>
    </x:row>
    <x:row r="9">
      <x:c r="A9" t="str">
        <x:v>R008</x:v>
      </x:c>
      <x:c r="B9" t="str">
        <x:v>Electric fire ventilation blocked</x:v>
      </x:c>
      <x:c r="C9" t="str">
        <x:v>Low</x:v>
      </x:c>
      <x:c r="D9" t="str">
        <x:v>High</x:v>
      </x:c>
      <x:c r="E9" t="str">
        <x:v>Fire manual clearance not followed</x:v>
      </x:c>
      <x:c r="F9" t="str">
        <x:v>Buy fire first, design opening around manual, never block vents</x:v>
      </x:c>
      <x:c r="G9" t="str">
        <x:v>Bolaji</x:v>
      </x:c>
      <x:c r="H9" t="str">
        <x:v>Open</x:v>
      </x:c>
    </x:row>
    <x:row r="10">
      <x:c r="A10" t="str">
        <x:v>R009</x:v>
      </x:c>
      <x:c r="B10" t="str">
        <x:v>Existing base/plinth not strong enough for cabinets</x:v>
      </x:c>
      <x:c r="C10" t="str">
        <x:v>Medium</x:v>
      </x:c>
      <x:c r="D10" t="str">
        <x:v>Medium</x:v>
      </x:c>
      <x:c r="E10" t="str">
        <x:v>Flexing, water damage, weak boards</x:v>
      </x:c>
      <x:c r="F10" t="str">
        <x:v>Rebuild base with timber frame if in doubt</x:v>
      </x:c>
      <x:c r="G10" t="str">
        <x:v>Bolaji</x:v>
      </x:c>
      <x:c r="H10" t="str">
        <x:v>Open</x:v>
      </x:c>
    </x:row>
  </x:sheetData>
  <x:dataValidations count="1">
    <x:dataValidation type="list" sqref="H2:H10">
      <x:formula1>"Open,Mitigated,Closed,Accepted"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cf8edb917c401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8" hidden="0" customWidth="1"/>
    <x:col min="4" max="4" width="28" hidden="0" customWidth="1"/>
    <x:col min="5" max="5" width="46" hidden="0" customWidth="1"/>
    <x:col min="6" max="6" width="28" hidden="0" customWidth="1"/>
  </x:cols>
  <x:sheetData>
    <x:row r="1" ht="28" customHeight="1">
      <x:c r="A1" s="6" t="str">
        <x:v>Supplier</x:v>
      </x:c>
      <x:c r="B1" s="6" t="str">
        <x:v>Item / Category</x:v>
      </x:c>
      <x:c r="C1" s="6" t="str">
        <x:v>Useful For</x:v>
      </x:c>
      <x:c r="D1" s="6" t="str">
        <x:v>Current observed price / range</x:v>
      </x:c>
      <x:c r="E1" s="6" t="str">
        <x:v>URL</x:v>
      </x:c>
      <x:c r="F1" s="6" t="str">
        <x:v>Notes</x:v>
      </x:c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t="str">
        <x:v>Wickes</x:v>
      </x:c>
      <x:c r="B2" t="str">
        <x:v>CLS timber 38x63x2400mm</x:v>
      </x:c>
      <x:c r="C2" t="str">
        <x:v>Timber frame</x:v>
      </x:c>
      <x:c r="D2" t="str">
        <x:v>£3.75 listed at search time</x:v>
      </x:c>
      <x:c r="E2" t="str">
        <x:v>https://www.wickes.co.uk/Products/Building-Materials/Timber/Trade-Timber-Supplies/CLS-Studwork-Timber/c/1000201</x:v>
      </x:c>
      <x:c r="F2" t="str">
        <x:v>Verify local stock and delivery</x:v>
      </x:c>
    </x:row>
    <x:row r="3">
      <x:c r="A3" t="str">
        <x:v>B&amp;Q</x:v>
      </x:c>
      <x:c r="B3" t="str">
        <x:v>18mm MDF sheets</x:v>
      </x:c>
      <x:c r="C3" t="str">
        <x:v>Board/cabinet/panels</x:v>
      </x:c>
      <x:c r="D3" t="str">
        <x:v>Marketplace pack prices vary; single-sheet pricing must be checked</x:v>
      </x:c>
      <x:c r="E3" t="str">
        <x:v>https://www.diy.com/timber-joinery/sheet-wood/mdf.cat</x:v>
      </x:c>
      <x:c r="F3" t="str">
        <x:v>Ask store if they cut boards</x:v>
      </x:c>
    </x:row>
    <x:row r="4">
      <x:c r="A4" t="str">
        <x:v>B&amp;Q</x:v>
      </x:c>
      <x:c r="B4" t="str">
        <x:v>12.5mm plasterboard / fireline</x:v>
      </x:c>
      <x:c r="C4" t="str">
        <x:v>Board &amp; finish near fire</x:v>
      </x:c>
      <x:c r="D4" t="str">
        <x:v>Fireline 2400x1200 approx £21.20 in search result</x:v>
      </x:c>
      <x:c r="E4" t="str">
        <x:v>https://www.diy.com/departments/building-supplies/plastering-supplies/plasterboard/DIY570176.cat?Length+%28mm%29=2400&amp;Thickness+%28mm%29=12.5&amp;Width+%28mm%29=1200</x:v>
      </x:c>
      <x:c r="F4" t="str">
        <x:v>Use fire-rated board where fire manual requires</x:v>
      </x:c>
    </x:row>
    <x:row r="5">
      <x:c r="A5" t="str">
        <x:v>Screwfix</x:v>
      </x:c>
      <x:c r="B5" t="str">
        <x:v>Electric fires</x:v>
      </x:c>
      <x:c r="C5" t="str">
        <x:v>Linear/inset/wall fire</x:v>
      </x:c>
      <x:c r="D5" t="str">
        <x:v>Examples from £111 refurb, £189.99 inset, £349.99 wall-mounted, £620 premium</x:v>
      </x:c>
      <x:c r="E5" t="str">
        <x:v>https://www.screwfix.com/c/heating-plumbing/fireplaces/cat830972?fueltype=electric</x:v>
      </x:c>
      <x:c r="F5" t="str">
        <x:v>Choose exact model before cutting aperture</x:v>
      </x:c>
    </x:row>
    <x:row r="6">
      <x:c r="A6" t="str">
        <x:v>Screwfix / Toolstation</x:v>
      </x:c>
      <x:c r="B6" t="str">
        <x:v>Fixings, screws, plugs</x:v>
      </x:c>
      <x:c r="C6" t="str">
        <x:v>Frames, boards, brackets</x:v>
      </x:c>
      <x:c r="D6" t="str">
        <x:v>Variable</x:v>
      </x:c>
      <x:c r="E6" t="str">
        <x:v>https://www.screwfix.com/</x:v>
      </x:c>
      <x:c r="F6" t="str">
        <x:v>Good for next-day pickup</x:v>
      </x:c>
    </x:row>
    <x:row r="7">
      <x:c r="A7" t="str">
        <x:v>IKEA / B&amp;Q / DIY</x:v>
      </x:c>
      <x:c r="B7" t="str">
        <x:v>Cabinet bases / doors</x:v>
      </x:c>
      <x:c r="C7" t="str">
        <x:v>Left/right lower storage</x:v>
      </x:c>
      <x:c r="D7" t="str">
        <x:v>Variable</x:v>
      </x:c>
      <x:c r="E7" t="str">
        <x:v>https://www.ikea.com/gb/en/</x:v>
      </x:c>
      <x:c r="F7" t="str">
        <x:v>Compare ready-made vs DIY MDF</x:v>
      </x:c>
    </x:row>
  </x:sheetData>
  <x:pageMargins left="0.7" right="0.7" top="0.75" bottom="0.75" header="0.3" footer="0.3"/>
  <x:tableParts count="1">
    <x:tablePart xmlns:r="http://schemas.openxmlformats.org/officeDocument/2006/relationships" r:id="R0fd0fe8a6afc47a4"/>
  </x:tableParts>
</x:worksheet>
</file>